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levraultgroup-my.sharepoint.com/personal/didier_lepretre_berger-levrault_com/Documents/Personnel/Excel/"/>
    </mc:Choice>
  </mc:AlternateContent>
  <xr:revisionPtr revIDLastSave="136" documentId="8_{AB0409CB-E8CA-4792-BB34-95C7CA770F39}" xr6:coauthVersionLast="45" xr6:coauthVersionMax="45" xr10:uidLastSave="{F42CC64F-4F11-4A73-BC3C-8F78582697AE}"/>
  <bookViews>
    <workbookView xWindow="38280" yWindow="-120" windowWidth="38640" windowHeight="21840" xr2:uid="{5A95223A-4FAB-4D89-B07F-E023C50C0B1D}"/>
  </bookViews>
  <sheets>
    <sheet name="Feuil1" sheetId="1" r:id="rId1"/>
    <sheet name="Feuil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C2" i="2" a="1"/>
  <c r="K2" i="1" a="1"/>
  <c r="K14" i="1" a="1"/>
  <c r="K26" i="1" a="1"/>
  <c r="K38" i="1" a="1"/>
  <c r="K3" i="1" a="1"/>
  <c r="K15" i="1" a="1"/>
  <c r="K27" i="1" a="1"/>
  <c r="K39" i="1" a="1"/>
  <c r="K7" i="1" a="1"/>
  <c r="K31" i="1" a="1"/>
  <c r="K46" i="1" a="1"/>
  <c r="K47" i="1" a="1"/>
  <c r="K36" i="1" a="1"/>
  <c r="K4" i="1" a="1"/>
  <c r="K16" i="1" a="1"/>
  <c r="K28" i="1" a="1"/>
  <c r="K40" i="1" a="1"/>
  <c r="K5" i="1" a="1"/>
  <c r="K17" i="1" a="1"/>
  <c r="K29" i="1" a="1"/>
  <c r="K41" i="1" a="1"/>
  <c r="K6" i="1" a="1"/>
  <c r="K18" i="1" a="1"/>
  <c r="K30" i="1" a="1"/>
  <c r="K42" i="1" a="1"/>
  <c r="K19" i="1" a="1"/>
  <c r="K43" i="1" a="1"/>
  <c r="K22" i="1" a="1"/>
  <c r="K11" i="1" a="1"/>
  <c r="K24" i="1" a="1"/>
  <c r="K13" i="1" a="1"/>
  <c r="K20" i="1" a="1"/>
  <c r="K9" i="1" a="1"/>
  <c r="K45" i="1" a="1"/>
  <c r="K10" i="1" a="1"/>
  <c r="K23" i="1" a="1"/>
  <c r="K12" i="1" a="1"/>
  <c r="K25" i="1" a="1"/>
  <c r="K8" i="1" a="1"/>
  <c r="K32" i="1" a="1"/>
  <c r="K44" i="1" a="1"/>
  <c r="K21" i="1" a="1"/>
  <c r="K33" i="1" a="1"/>
  <c r="K34" i="1" a="1"/>
  <c r="K35" i="1" a="1"/>
  <c r="K48" i="1" a="1"/>
  <c r="K49" i="1" a="1"/>
  <c r="K37" i="1" a="1"/>
  <c r="L3" i="1" a="1"/>
  <c r="L15" i="1" a="1"/>
  <c r="L27" i="1" a="1"/>
  <c r="L39" i="1" a="1"/>
  <c r="L11" i="1" a="1"/>
  <c r="L36" i="1" a="1"/>
  <c r="L26" i="1" a="1"/>
  <c r="L16" i="1" a="1"/>
  <c r="L40" i="1" a="1"/>
  <c r="L21" i="1" a="1"/>
  <c r="L22" i="1" a="1"/>
  <c r="L23" i="1" a="1"/>
  <c r="L49" i="1" a="1"/>
  <c r="L4" i="1" a="1"/>
  <c r="L28" i="1" a="1"/>
  <c r="L33" i="1" a="1"/>
  <c r="L10" i="1" a="1"/>
  <c r="L24" i="1" a="1"/>
  <c r="L14" i="1" a="1"/>
  <c r="L5" i="1" a="1"/>
  <c r="L17" i="1" a="1"/>
  <c r="L29" i="1" a="1"/>
  <c r="L41" i="1" a="1"/>
  <c r="L6" i="1" a="1"/>
  <c r="L18" i="1" a="1"/>
  <c r="L30" i="1" a="1"/>
  <c r="L42" i="1" a="1"/>
  <c r="L7" i="1" a="1"/>
  <c r="L19" i="1" a="1"/>
  <c r="L31" i="1" a="1"/>
  <c r="L43" i="1" a="1"/>
  <c r="L8" i="1" a="1"/>
  <c r="L32" i="1" a="1"/>
  <c r="L44" i="1" a="1"/>
  <c r="L45" i="1" a="1"/>
  <c r="L46" i="1" a="1"/>
  <c r="L47" i="1" a="1"/>
  <c r="L12" i="1" a="1"/>
  <c r="L38" i="1" a="1"/>
  <c r="L35" i="1" a="1"/>
  <c r="L13" i="1" a="1"/>
  <c r="L25" i="1" a="1"/>
  <c r="L20" i="1" a="1"/>
  <c r="L34" i="1" a="1"/>
  <c r="L9" i="1" a="1"/>
  <c r="L37" i="1" a="1"/>
  <c r="L48" i="1" a="1"/>
  <c r="L2" i="1" a="1"/>
  <c r="I2" i="1" a="1"/>
  <c r="I8" i="1" a="1"/>
  <c r="H2" i="1" a="1"/>
  <c r="H5" i="1" a="1"/>
  <c r="H26" i="1" a="1"/>
  <c r="I21" i="1" a="1"/>
  <c r="H23" i="1" a="1"/>
  <c r="H12" i="1" a="1"/>
  <c r="H13" i="1" a="1"/>
  <c r="H30" i="1" a="1"/>
  <c r="I14" i="1" a="1"/>
  <c r="I26" i="1" a="1"/>
  <c r="I32" i="1" a="1"/>
  <c r="H39" i="1" a="1"/>
  <c r="H6" i="1" a="1"/>
  <c r="I44" i="1" a="1"/>
  <c r="H29" i="1" a="1"/>
  <c r="H42" i="1" a="1"/>
  <c r="H27" i="1" a="1"/>
  <c r="H3" i="1" a="1"/>
  <c r="H28" i="1" a="1"/>
  <c r="I38" i="1" a="1"/>
  <c r="I3" i="1" a="1"/>
  <c r="I15" i="1" a="1"/>
  <c r="I27" i="1" a="1"/>
  <c r="I39" i="1" a="1"/>
  <c r="I34" i="1" a="1"/>
  <c r="H33" i="1" a="1"/>
  <c r="H21" i="1" a="1"/>
  <c r="I46" i="1" a="1"/>
  <c r="H36" i="1" a="1"/>
  <c r="H9" i="1" a="1"/>
  <c r="H10" i="1" a="1"/>
  <c r="H46" i="1" a="1"/>
  <c r="I48" i="1" a="1"/>
  <c r="I4" i="1" a="1"/>
  <c r="I16" i="1" a="1"/>
  <c r="I28" i="1" a="1"/>
  <c r="I40" i="1" a="1"/>
  <c r="I5" i="1" a="1"/>
  <c r="I17" i="1" a="1"/>
  <c r="I29" i="1" a="1"/>
  <c r="I41" i="1" a="1"/>
  <c r="I6" i="1" a="1"/>
  <c r="I18" i="1" a="1"/>
  <c r="I30" i="1" a="1"/>
  <c r="I49" i="1" a="1"/>
  <c r="H43" i="1" a="1"/>
  <c r="H38" i="1" a="1"/>
  <c r="I20" i="1" a="1"/>
  <c r="I9" i="1" a="1"/>
  <c r="H15" i="1" a="1"/>
  <c r="H11" i="1" a="1"/>
  <c r="H24" i="1" a="1"/>
  <c r="H25" i="1" a="1"/>
  <c r="H14" i="1" a="1"/>
  <c r="I42" i="1" a="1"/>
  <c r="I37" i="1" a="1"/>
  <c r="H34" i="1" a="1"/>
  <c r="H31" i="1" a="1"/>
  <c r="H41" i="1" a="1"/>
  <c r="H20" i="1" a="1"/>
  <c r="I36" i="1" a="1"/>
  <c r="H16" i="1" a="1"/>
  <c r="I25" i="1" a="1"/>
  <c r="I7" i="1" a="1"/>
  <c r="I12" i="1" a="1"/>
  <c r="H47" i="1" a="1"/>
  <c r="H44" i="1" a="1"/>
  <c r="H45" i="1" a="1"/>
  <c r="H18" i="1" a="1"/>
  <c r="H8" i="1" a="1"/>
  <c r="I11" i="1" a="1"/>
  <c r="I33" i="1" a="1"/>
  <c r="H40" i="1" a="1"/>
  <c r="I19" i="1" a="1"/>
  <c r="I22" i="1" a="1"/>
  <c r="H49" i="1" a="1"/>
  <c r="I23" i="1" a="1"/>
  <c r="I31" i="1" a="1"/>
  <c r="I24" i="1" a="1"/>
  <c r="H4" i="1" a="1"/>
  <c r="H48" i="1" a="1"/>
  <c r="H19" i="1" a="1"/>
  <c r="I10" i="1" a="1"/>
  <c r="H35" i="1" a="1"/>
  <c r="I45" i="1" a="1"/>
  <c r="I43" i="1" a="1"/>
  <c r="I35" i="1" a="1"/>
  <c r="H17" i="1" a="1"/>
  <c r="H37" i="1" a="1"/>
  <c r="H7" i="1" a="1"/>
  <c r="H32" i="1" a="1"/>
  <c r="H22" i="1" a="1"/>
  <c r="I13" i="1" a="1"/>
  <c r="I47" i="1" a="1"/>
  <c r="C2" i="2" l="1"/>
  <c r="K37" i="1"/>
  <c r="K49" i="1"/>
  <c r="K48" i="1"/>
  <c r="K35" i="1"/>
  <c r="K34" i="1"/>
  <c r="K33" i="1"/>
  <c r="K21" i="1"/>
  <c r="K44" i="1"/>
  <c r="K32" i="1"/>
  <c r="K8" i="1"/>
  <c r="K25" i="1"/>
  <c r="K12" i="1"/>
  <c r="K23" i="1"/>
  <c r="K10" i="1"/>
  <c r="K45" i="1"/>
  <c r="K9" i="1"/>
  <c r="K20" i="1"/>
  <c r="K13" i="1"/>
  <c r="K24" i="1"/>
  <c r="K11" i="1"/>
  <c r="K22" i="1"/>
  <c r="K43" i="1"/>
  <c r="K19" i="1"/>
  <c r="K42" i="1"/>
  <c r="K30" i="1"/>
  <c r="K18" i="1"/>
  <c r="K6" i="1"/>
  <c r="K41" i="1"/>
  <c r="K29" i="1"/>
  <c r="K17" i="1"/>
  <c r="K5" i="1"/>
  <c r="K40" i="1"/>
  <c r="K28" i="1"/>
  <c r="K16" i="1"/>
  <c r="K4" i="1"/>
  <c r="K36" i="1"/>
  <c r="K47" i="1"/>
  <c r="K46" i="1"/>
  <c r="K31" i="1"/>
  <c r="K7" i="1"/>
  <c r="K39" i="1"/>
  <c r="K27" i="1"/>
  <c r="K15" i="1"/>
  <c r="K3" i="1"/>
  <c r="K38" i="1"/>
  <c r="K26" i="1"/>
  <c r="K14" i="1"/>
  <c r="K2" i="1"/>
  <c r="L48" i="1"/>
  <c r="L37" i="1"/>
  <c r="L9" i="1"/>
  <c r="L34" i="1"/>
  <c r="L20" i="1"/>
  <c r="L25" i="1"/>
  <c r="L13" i="1"/>
  <c r="L35" i="1"/>
  <c r="L38" i="1"/>
  <c r="L12" i="1"/>
  <c r="L47" i="1"/>
  <c r="L46" i="1"/>
  <c r="L45" i="1"/>
  <c r="L44" i="1"/>
  <c r="L32" i="1"/>
  <c r="L8" i="1"/>
  <c r="L43" i="1"/>
  <c r="L31" i="1"/>
  <c r="L19" i="1"/>
  <c r="L7" i="1"/>
  <c r="L42" i="1"/>
  <c r="L30" i="1"/>
  <c r="L18" i="1"/>
  <c r="L6" i="1"/>
  <c r="L41" i="1"/>
  <c r="L29" i="1"/>
  <c r="L17" i="1"/>
  <c r="L5" i="1"/>
  <c r="L14" i="1"/>
  <c r="L24" i="1"/>
  <c r="L10" i="1"/>
  <c r="L33" i="1"/>
  <c r="L28" i="1"/>
  <c r="L4" i="1"/>
  <c r="L49" i="1"/>
  <c r="L23" i="1"/>
  <c r="L22" i="1"/>
  <c r="L21" i="1"/>
  <c r="L40" i="1"/>
  <c r="L16" i="1"/>
  <c r="L26" i="1"/>
  <c r="L36" i="1"/>
  <c r="L11" i="1"/>
  <c r="L39" i="1"/>
  <c r="L27" i="1"/>
  <c r="L15" i="1"/>
  <c r="L3" i="1"/>
  <c r="L2" i="1"/>
  <c r="I47" i="1"/>
  <c r="I13" i="1"/>
  <c r="H22" i="1"/>
  <c r="H32" i="1"/>
  <c r="H7" i="1"/>
  <c r="H37" i="1"/>
  <c r="H17" i="1"/>
  <c r="I35" i="1"/>
  <c r="I43" i="1"/>
  <c r="I45" i="1"/>
  <c r="H35" i="1"/>
  <c r="I10" i="1"/>
  <c r="H19" i="1"/>
  <c r="H48" i="1"/>
  <c r="H4" i="1"/>
  <c r="I24" i="1"/>
  <c r="I31" i="1"/>
  <c r="I23" i="1"/>
  <c r="H49" i="1"/>
  <c r="I22" i="1"/>
  <c r="I19" i="1"/>
  <c r="H40" i="1"/>
  <c r="I33" i="1"/>
  <c r="I11" i="1"/>
  <c r="H8" i="1"/>
  <c r="H18" i="1"/>
  <c r="H45" i="1"/>
  <c r="H44" i="1"/>
  <c r="H47" i="1"/>
  <c r="I12" i="1"/>
  <c r="I7" i="1"/>
  <c r="I25" i="1"/>
  <c r="H16" i="1"/>
  <c r="I36" i="1"/>
  <c r="H20" i="1"/>
  <c r="H41" i="1"/>
  <c r="H31" i="1"/>
  <c r="H34" i="1"/>
  <c r="I37" i="1"/>
  <c r="I42" i="1"/>
  <c r="H14" i="1"/>
  <c r="H25" i="1"/>
  <c r="H24" i="1"/>
  <c r="H11" i="1"/>
  <c r="H15" i="1"/>
  <c r="I9" i="1"/>
  <c r="I20" i="1"/>
  <c r="H38" i="1"/>
  <c r="H43" i="1"/>
  <c r="I49" i="1"/>
  <c r="I30" i="1"/>
  <c r="I18" i="1"/>
  <c r="I6" i="1"/>
  <c r="I41" i="1"/>
  <c r="I29" i="1"/>
  <c r="I17" i="1"/>
  <c r="I5" i="1"/>
  <c r="I40" i="1"/>
  <c r="I28" i="1"/>
  <c r="I16" i="1"/>
  <c r="I4" i="1"/>
  <c r="I48" i="1"/>
  <c r="H46" i="1"/>
  <c r="H10" i="1"/>
  <c r="H9" i="1"/>
  <c r="H36" i="1"/>
  <c r="I46" i="1"/>
  <c r="H21" i="1"/>
  <c r="H33" i="1"/>
  <c r="I34" i="1"/>
  <c r="I39" i="1"/>
  <c r="I27" i="1"/>
  <c r="I15" i="1"/>
  <c r="I3" i="1"/>
  <c r="I38" i="1"/>
  <c r="H28" i="1"/>
  <c r="H3" i="1"/>
  <c r="H27" i="1"/>
  <c r="H42" i="1"/>
  <c r="H29" i="1"/>
  <c r="I44" i="1"/>
  <c r="H6" i="1"/>
  <c r="H39" i="1"/>
  <c r="I32" i="1"/>
  <c r="I26" i="1"/>
  <c r="I14" i="1"/>
  <c r="H30" i="1"/>
  <c r="H13" i="1"/>
  <c r="H12" i="1"/>
  <c r="H23" i="1"/>
  <c r="I21" i="1"/>
  <c r="H26" i="1"/>
  <c r="H5" i="1"/>
  <c r="H2" i="1"/>
  <c r="I8" i="1"/>
  <c r="I2" i="1"/>
  <c r="J50" i="1" l="1"/>
  <c r="K50" i="1" a="1"/>
  <c r="K5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<sst xmlns="http://schemas.openxmlformats.org/spreadsheetml/2006/main" count="305" uniqueCount="204">
  <si>
    <t>no</t>
  </si>
  <si>
    <t>Source</t>
  </si>
  <si>
    <t>Source2</t>
  </si>
  <si>
    <t>Ref</t>
  </si>
  <si>
    <t>tcin</t>
  </si>
  <si>
    <t>tcout</t>
  </si>
  <si>
    <t>dure</t>
  </si>
  <si>
    <t>11:11:06:06</t>
  </si>
  <si>
    <t>11:11:18:05</t>
  </si>
  <si>
    <t>00:00:11:24</t>
  </si>
  <si>
    <t>11:11:27:13</t>
  </si>
  <si>
    <t>11:11:37:14</t>
  </si>
  <si>
    <t>00:00:10:01</t>
  </si>
  <si>
    <t>11:12:23:18</t>
  </si>
  <si>
    <t>11:12:29:10</t>
  </si>
  <si>
    <t>00:00:05:17</t>
  </si>
  <si>
    <t>11:13:10:19</t>
  </si>
  <si>
    <t>11:13:16:03</t>
  </si>
  <si>
    <t>00:00:05:09</t>
  </si>
  <si>
    <t>11:18:01:12</t>
  </si>
  <si>
    <t>11:18:11:09</t>
  </si>
  <si>
    <t>00:00:09:22</t>
  </si>
  <si>
    <t>11:18:34:15</t>
  </si>
  <si>
    <t>11:18:41:24</t>
  </si>
  <si>
    <t>00:00:07:09</t>
  </si>
  <si>
    <t>11:18:45:07</t>
  </si>
  <si>
    <t>11:19:00:13</t>
  </si>
  <si>
    <t>00:00:15:06</t>
  </si>
  <si>
    <t>11:19:14:08</t>
  </si>
  <si>
    <t>11:19:21:09</t>
  </si>
  <si>
    <t>00:00:07:01</t>
  </si>
  <si>
    <t>11:19:21:10</t>
  </si>
  <si>
    <t>11:19:25:19</t>
  </si>
  <si>
    <t>00:00:04:09</t>
  </si>
  <si>
    <t>11:19:41:05</t>
  </si>
  <si>
    <t>11:19:51:06</t>
  </si>
  <si>
    <t>11:01:08:10</t>
  </si>
  <si>
    <t>11:01:12:13</t>
  </si>
  <si>
    <t>00:00:04:03</t>
  </si>
  <si>
    <t>11:47:06:07</t>
  </si>
  <si>
    <t>11:47:10:13</t>
  </si>
  <si>
    <t>00:00:04:06</t>
  </si>
  <si>
    <t>11:47:10:14</t>
  </si>
  <si>
    <t>11:47:18:12</t>
  </si>
  <si>
    <t>00:00:07:23</t>
  </si>
  <si>
    <t>11:47:18:13</t>
  </si>
  <si>
    <t>11:47:20:17</t>
  </si>
  <si>
    <t>00:00:02:04</t>
  </si>
  <si>
    <t>11:47:20:18</t>
  </si>
  <si>
    <t>11:47:28:03</t>
  </si>
  <si>
    <t>00:00:07:10</t>
  </si>
  <si>
    <t>11:47:28:04</t>
  </si>
  <si>
    <t>11:47:33:15</t>
  </si>
  <si>
    <t>00:00:05:11</t>
  </si>
  <si>
    <t>10:57:07:00</t>
  </si>
  <si>
    <t>10:57:09:10</t>
  </si>
  <si>
    <t>00:00:02:10</t>
  </si>
  <si>
    <t>10:57:09:11</t>
  </si>
  <si>
    <t>10:57:14:21</t>
  </si>
  <si>
    <t>00:00:05:10</t>
  </si>
  <si>
    <t>10:15:17:20</t>
  </si>
  <si>
    <t>10:15:26:00</t>
  </si>
  <si>
    <t>00:00:08:05</t>
  </si>
  <si>
    <t>10:19:14:11</t>
  </si>
  <si>
    <t>10:19:18:15</t>
  </si>
  <si>
    <t>00:00:04:04</t>
  </si>
  <si>
    <t>10:19:18:16</t>
  </si>
  <si>
    <t>10:19:23:01</t>
  </si>
  <si>
    <t>00:00:04:10</t>
  </si>
  <si>
    <t>10:19:23:02</t>
  </si>
  <si>
    <t>10:19:27:22</t>
  </si>
  <si>
    <t>00:00:04:20</t>
  </si>
  <si>
    <t>10:19:57:06</t>
  </si>
  <si>
    <t>10:20:01:12</t>
  </si>
  <si>
    <t>10:23:31:16</t>
  </si>
  <si>
    <t>10:23:35:03</t>
  </si>
  <si>
    <t>00:00:03:12</t>
  </si>
  <si>
    <t>10:23:35:04</t>
  </si>
  <si>
    <t>10:23:38:19</t>
  </si>
  <si>
    <t>00:00:03:15</t>
  </si>
  <si>
    <t>10:42:41:15</t>
  </si>
  <si>
    <t>10:42:48:13</t>
  </si>
  <si>
    <t>00:00:06:23</t>
  </si>
  <si>
    <t>10:43:10:21</t>
  </si>
  <si>
    <t>10:43:16:05</t>
  </si>
  <si>
    <t>10:44:07:10</t>
  </si>
  <si>
    <t>10:44:10:11</t>
  </si>
  <si>
    <t>00:00:03:01</t>
  </si>
  <si>
    <t>10:44:10:12</t>
  </si>
  <si>
    <t>10:44:24:18</t>
  </si>
  <si>
    <t>00:00:14:06</t>
  </si>
  <si>
    <t>10:44:24:19</t>
  </si>
  <si>
    <t>10:44:31:09</t>
  </si>
  <si>
    <t>00:00:06:15</t>
  </si>
  <si>
    <t>10:44:42:12</t>
  </si>
  <si>
    <t>10:44:45:07</t>
  </si>
  <si>
    <t>00:00:02:20</t>
  </si>
  <si>
    <t>10:44:47:11</t>
  </si>
  <si>
    <t>10:44:51:04</t>
  </si>
  <si>
    <t>00:00:03:18</t>
  </si>
  <si>
    <t>10:44:51:05</t>
  </si>
  <si>
    <t>10:45:05:15</t>
  </si>
  <si>
    <t>00:00:14:10</t>
  </si>
  <si>
    <t>10:45:05:16</t>
  </si>
  <si>
    <t>10:45:16:20</t>
  </si>
  <si>
    <t>00:00:11:04</t>
  </si>
  <si>
    <t>11:14:58:18</t>
  </si>
  <si>
    <t>11:15:05:10</t>
  </si>
  <si>
    <t>00:00:06:17</t>
  </si>
  <si>
    <t>11:24:40:10</t>
  </si>
  <si>
    <t>11:24:53:20</t>
  </si>
  <si>
    <t>00:00:13:10</t>
  </si>
  <si>
    <t>11:24:53:21</t>
  </si>
  <si>
    <t>11:25:03:12</t>
  </si>
  <si>
    <t>00:00:09:16</t>
  </si>
  <si>
    <t>10:19:27:23</t>
  </si>
  <si>
    <t>10:19:30:10</t>
  </si>
  <si>
    <t>00:00:02:12</t>
  </si>
  <si>
    <t>10:19:30:11</t>
  </si>
  <si>
    <t>10:19:32:11</t>
  </si>
  <si>
    <t>00:00:02:00</t>
  </si>
  <si>
    <t>10:19:32:12</t>
  </si>
  <si>
    <t>10:19:35:10</t>
  </si>
  <si>
    <t>00:00:02:23</t>
  </si>
  <si>
    <t>10:02:08:03</t>
  </si>
  <si>
    <t>10:02:10:12</t>
  </si>
  <si>
    <t>00:00:02:09</t>
  </si>
  <si>
    <t>10:02:10:13</t>
  </si>
  <si>
    <t>10:02:15:22</t>
  </si>
  <si>
    <t>10:23:50:01</t>
  </si>
  <si>
    <t>10:24:01:18</t>
  </si>
  <si>
    <t>00:00:11:17</t>
  </si>
  <si>
    <t>10:34:56:16</t>
  </si>
  <si>
    <t>10:35:10:06</t>
  </si>
  <si>
    <t>00:00:13:15</t>
  </si>
  <si>
    <t>10:49:10:18</t>
  </si>
  <si>
    <t>10:49:19:18</t>
  </si>
  <si>
    <t>00:00:09:00</t>
  </si>
  <si>
    <t>10:49:19:19</t>
  </si>
  <si>
    <t>10:49:31:00</t>
  </si>
  <si>
    <t>00:00:11:06</t>
  </si>
  <si>
    <t>11:15:53:01</t>
  </si>
  <si>
    <t>11:16:26:04</t>
  </si>
  <si>
    <t>00:00:33:03</t>
  </si>
  <si>
    <t>11:35:54:23</t>
  </si>
  <si>
    <t>11:36:09:24</t>
  </si>
  <si>
    <t>00:00:15:01</t>
  </si>
  <si>
    <t>imgIN</t>
  </si>
  <si>
    <t>imgOUT</t>
  </si>
  <si>
    <t>Images</t>
  </si>
  <si>
    <t>TCDuree</t>
  </si>
  <si>
    <t>Diff</t>
  </si>
  <si>
    <t>deb</t>
  </si>
  <si>
    <t>fin</t>
  </si>
  <si>
    <t>02:04:12:10</t>
  </si>
  <si>
    <t>02:56:13:19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</si>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</sst>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455436-C3B6-4BEE-9CAD-FA54E144789D}" name="Tableau1" displayName="Tableau1" ref="A1:L50" totalsRowCount="1">
  <autoFilter ref="A1:L49" xr:uid="{3269445C-1C50-485B-A431-C8AF52FF3649}"/>
  <tableColumns count="12">
    <tableColumn id="1" xr3:uid="{55F926C0-7E06-4948-9587-5A0D184BF951}" name="no"/>
    <tableColumn id="2" xr3:uid="{BE1097F4-9FFA-4CB1-9A30-EACB3B72D57B}" name="Source"/>
    <tableColumn id="3" xr3:uid="{26232499-FCD4-4BE1-A571-5AED406296F5}" name="Source2"/>
    <tableColumn id="4" xr3:uid="{757C27A9-6A36-4862-930B-D301774BFE02}" name="Ref"/>
    <tableColumn id="5" xr3:uid="{D39632B5-C993-465C-A2CE-9F7041D5B639}" name="tcin"/>
    <tableColumn id="6" xr3:uid="{67597DD9-6112-45BF-933F-4D6153364385}" name="tcout"/>
    <tableColumn id="7" xr3:uid="{5A74B1A4-45E7-4F89-AF48-6F54400939D6}" name="dure"/>
    <tableColumn id="8" xr3:uid="{D39485E3-92B8-4C86-911E-6790F70AE6F6}" name="imgIN" dataDxfId="8" totalsRowDxfId="3">
      <calculatedColumnFormula array="1">FromTimeCode(24,Tableau1[[#This Row],[tcin]])</calculatedColumnFormula>
    </tableColumn>
    <tableColumn id="9" xr3:uid="{38D5474C-B47B-47D1-A8CF-02C03B7E9111}" name="imgOUT" dataDxfId="7" totalsRowDxfId="2">
      <calculatedColumnFormula array="1">FromTimeCode(24,Tableau1[[#This Row],[tcout]])</calculatedColumnFormula>
    </tableColumn>
    <tableColumn id="10" xr3:uid="{301F03D0-7B47-450A-8E3A-19692511411C}" name="Images" totalsRowFunction="sum" dataDxfId="6" totalsRowDxfId="1">
      <calculatedColumnFormula>Tableau1[[#This Row],[imgOUT]]-Tableau1[[#This Row],[imgIN]]+1</calculatedColumnFormula>
    </tableColumn>
    <tableColumn id="11" xr3:uid="{DFF91DBE-B5FD-47EF-983A-5F52A43413DA}" name="Diff" totalsRowFunction="custom" dataDxfId="5" totalsRowDxfId="0">
      <calculatedColumnFormula array="1">ToTimeCode(24,Tableau1[[#This Row],[Images]])</calculatedColumnFormula>
      <totalsRowFormula array="1">ToTimeCode(24,Tableau1[[#Totals],[Images]])</totalsRowFormula>
    </tableColumn>
    <tableColumn id="12" xr3:uid="{54E7A9C6-F9C3-46ED-94BD-0E73AA94D46F}" name="TCDuree" dataDxfId="4">
      <calculatedColumnFormula array="1">TCDuree(24,Tableau1[[#This Row],[tcin]],Tableau1[[#This Row],[tcout]])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EB28-9382-43A5-811E-3E1CC55B01BF}">
  <sheetPr codeName="Feuil1"/>
  <dimension ref="A1:L50"/>
  <sheetViews>
    <sheetView tabSelected="1" workbookViewId="0">
      <selection activeCell="A2" sqref="A2"/>
    </sheetView>
  </sheetViews>
  <sheetFormatPr baseColWidth="10" defaultRowHeight="15" x14ac:dyDescent="0.25"/>
  <cols>
    <col min="4" max="4" width="81.57031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147</v>
      </c>
      <c r="I1" t="s">
        <v>148</v>
      </c>
      <c r="J1" t="s">
        <v>149</v>
      </c>
      <c r="K1" t="s">
        <v>151</v>
      </c>
      <c r="L1" t="s">
        <v>150</v>
      </c>
    </row>
    <row r="2" spans="1:12" x14ac:dyDescent="0.25">
      <c r="A2">
        <v>235</v>
      </c>
      <c r="B2" t="s">
        <v>156</v>
      </c>
      <c r="C2" t="s">
        <v>156</v>
      </c>
      <c r="D2" t="s">
        <v>156</v>
      </c>
      <c r="E2" t="s">
        <v>7</v>
      </c>
      <c r="F2" t="s">
        <v>8</v>
      </c>
      <c r="G2" t="s">
        <v>9</v>
      </c>
      <c r="H2" cm="1">
        <f t="array" ref="H2">FromTimeCode(24,Tableau1[[#This Row],[tcin]])</f>
        <v>966390</v>
      </c>
      <c r="I2" cm="1">
        <f t="array" ref="I2">FromTimeCode(24,Tableau1[[#This Row],[tcout]])</f>
        <v>966677</v>
      </c>
      <c r="J2">
        <f>Tableau1[[#This Row],[imgOUT]]-Tableau1[[#This Row],[imgIN]]+1</f>
        <v>288</v>
      </c>
      <c r="K2" s="1" t="str" cm="1">
        <f t="array" ref="K2">ToTimeCode(24,Tableau1[[#This Row],[Images]])</f>
        <v>00:00:12:00</v>
      </c>
      <c r="L2" s="1" t="str" cm="1">
        <f t="array" ref="L2">TCDuree(24,Tableau1[[#This Row],[tcin]],Tableau1[[#This Row],[tcout]])</f>
        <v>00:00:12:00</v>
      </c>
    </row>
    <row r="3" spans="1:12" x14ac:dyDescent="0.25">
      <c r="A3">
        <v>236</v>
      </c>
      <c r="B3" t="s">
        <v>157</v>
      </c>
      <c r="C3" t="s">
        <v>157</v>
      </c>
      <c r="D3" t="s">
        <v>157</v>
      </c>
      <c r="E3" t="s">
        <v>10</v>
      </c>
      <c r="F3" t="s">
        <v>11</v>
      </c>
      <c r="G3" t="s">
        <v>12</v>
      </c>
      <c r="H3" cm="1">
        <f t="array" ref="H3">FromTimeCode(24,Tableau1[[#This Row],[tcin]])</f>
        <v>966901</v>
      </c>
      <c r="I3" cm="1">
        <f t="array" ref="I3">FromTimeCode(24,Tableau1[[#This Row],[tcout]])</f>
        <v>967142</v>
      </c>
      <c r="J3">
        <f>Tableau1[[#This Row],[imgOUT]]-Tableau1[[#This Row],[imgIN]]+1</f>
        <v>242</v>
      </c>
      <c r="K3" s="1" t="str" cm="1">
        <f t="array" ref="K3">ToTimeCode(24,Tableau1[[#This Row],[Images]])</f>
        <v>00:00:10:02</v>
      </c>
      <c r="L3" s="1" t="str" cm="1">
        <f t="array" ref="L3">TCDuree(24,Tableau1[[#This Row],[tcin]],Tableau1[[#This Row],[tcout]])</f>
        <v>00:00:10:02</v>
      </c>
    </row>
    <row r="4" spans="1:12" x14ac:dyDescent="0.25">
      <c r="A4">
        <v>237</v>
      </c>
      <c r="B4" t="s">
        <v>158</v>
      </c>
      <c r="C4" t="s">
        <v>158</v>
      </c>
      <c r="D4" t="s">
        <v>158</v>
      </c>
      <c r="E4" t="s">
        <v>13</v>
      </c>
      <c r="F4" t="s">
        <v>14</v>
      </c>
      <c r="G4" t="s">
        <v>15</v>
      </c>
      <c r="H4" cm="1">
        <f t="array" ref="H4">FromTimeCode(24,Tableau1[[#This Row],[tcin]])</f>
        <v>968250</v>
      </c>
      <c r="I4" cm="1">
        <f t="array" ref="I4">FromTimeCode(24,Tableau1[[#This Row],[tcout]])</f>
        <v>968386</v>
      </c>
      <c r="J4">
        <f>Tableau1[[#This Row],[imgOUT]]-Tableau1[[#This Row],[imgIN]]+1</f>
        <v>137</v>
      </c>
      <c r="K4" s="1" t="str" cm="1">
        <f t="array" ref="K4">ToTimeCode(24,Tableau1[[#This Row],[Images]])</f>
        <v>00:00:05:17</v>
      </c>
      <c r="L4" s="1" t="str" cm="1">
        <f t="array" ref="L4">TCDuree(24,Tableau1[[#This Row],[tcin]],Tableau1[[#This Row],[tcout]])</f>
        <v>00:00:05:17</v>
      </c>
    </row>
    <row r="5" spans="1:12" x14ac:dyDescent="0.25">
      <c r="A5">
        <v>238</v>
      </c>
      <c r="B5" t="s">
        <v>159</v>
      </c>
      <c r="C5" t="s">
        <v>159</v>
      </c>
      <c r="D5" t="s">
        <v>159</v>
      </c>
      <c r="E5" t="s">
        <v>16</v>
      </c>
      <c r="F5" t="s">
        <v>17</v>
      </c>
      <c r="G5" t="s">
        <v>18</v>
      </c>
      <c r="H5" cm="1">
        <f t="array" ref="H5">FromTimeCode(24,Tableau1[[#This Row],[tcin]])</f>
        <v>969379</v>
      </c>
      <c r="I5" cm="1">
        <f t="array" ref="I5">FromTimeCode(24,Tableau1[[#This Row],[tcout]])</f>
        <v>969507</v>
      </c>
      <c r="J5">
        <f>Tableau1[[#This Row],[imgOUT]]-Tableau1[[#This Row],[imgIN]]+1</f>
        <v>129</v>
      </c>
      <c r="K5" s="1" t="str" cm="1">
        <f t="array" ref="K5">ToTimeCode(24,Tableau1[[#This Row],[Images]])</f>
        <v>00:00:05:09</v>
      </c>
      <c r="L5" s="1" t="str" cm="1">
        <f t="array" ref="L5">TCDuree(24,Tableau1[[#This Row],[tcin]],Tableau1[[#This Row],[tcout]])</f>
        <v>00:00:05:09</v>
      </c>
    </row>
    <row r="6" spans="1:12" x14ac:dyDescent="0.25">
      <c r="A6">
        <v>241</v>
      </c>
      <c r="B6" t="s">
        <v>160</v>
      </c>
      <c r="C6" t="s">
        <v>160</v>
      </c>
      <c r="D6" t="s">
        <v>160</v>
      </c>
      <c r="E6" t="s">
        <v>19</v>
      </c>
      <c r="F6" t="s">
        <v>20</v>
      </c>
      <c r="G6" t="s">
        <v>21</v>
      </c>
      <c r="H6" cm="1">
        <f t="array" ref="H6">FromTimeCode(24,Tableau1[[#This Row],[tcin]])</f>
        <v>976356</v>
      </c>
      <c r="I6" cm="1">
        <f t="array" ref="I6">FromTimeCode(24,Tableau1[[#This Row],[tcout]])</f>
        <v>976593</v>
      </c>
      <c r="J6">
        <f>Tableau1[[#This Row],[imgOUT]]-Tableau1[[#This Row],[imgIN]]+1</f>
        <v>238</v>
      </c>
      <c r="K6" s="1" t="str" cm="1">
        <f t="array" ref="K6">ToTimeCode(24,Tableau1[[#This Row],[Images]])</f>
        <v>00:00:09:22</v>
      </c>
      <c r="L6" s="1" t="str" cm="1">
        <f t="array" ref="L6">TCDuree(24,Tableau1[[#This Row],[tcin]],Tableau1[[#This Row],[tcout]])</f>
        <v>00:00:09:22</v>
      </c>
    </row>
    <row r="7" spans="1:12" x14ac:dyDescent="0.25">
      <c r="A7">
        <v>242</v>
      </c>
      <c r="B7" t="s">
        <v>161</v>
      </c>
      <c r="C7" t="s">
        <v>161</v>
      </c>
      <c r="D7" t="s">
        <v>161</v>
      </c>
      <c r="E7" t="s">
        <v>22</v>
      </c>
      <c r="F7" t="s">
        <v>23</v>
      </c>
      <c r="G7" t="s">
        <v>24</v>
      </c>
      <c r="H7" cm="1">
        <f t="array" ref="H7">FromTimeCode(24,Tableau1[[#This Row],[tcin]])</f>
        <v>977151</v>
      </c>
      <c r="I7" cm="1">
        <f t="array" ref="I7">FromTimeCode(24,Tableau1[[#This Row],[tcout]])</f>
        <v>977328</v>
      </c>
      <c r="J7">
        <f>Tableau1[[#This Row],[imgOUT]]-Tableau1[[#This Row],[imgIN]]+1</f>
        <v>178</v>
      </c>
      <c r="K7" s="1" t="str" cm="1">
        <f t="array" ref="K7">ToTimeCode(24,Tableau1[[#This Row],[Images]])</f>
        <v>00:00:07:10</v>
      </c>
      <c r="L7" s="1" t="str" cm="1">
        <f t="array" ref="L7">TCDuree(24,Tableau1[[#This Row],[tcin]],Tableau1[[#This Row],[tcout]])</f>
        <v>00:00:07:10</v>
      </c>
    </row>
    <row r="8" spans="1:12" x14ac:dyDescent="0.25">
      <c r="A8">
        <v>243</v>
      </c>
      <c r="B8" t="s">
        <v>162</v>
      </c>
      <c r="C8" t="s">
        <v>162</v>
      </c>
      <c r="D8" t="s">
        <v>162</v>
      </c>
      <c r="E8" t="s">
        <v>25</v>
      </c>
      <c r="F8" t="s">
        <v>26</v>
      </c>
      <c r="G8" t="s">
        <v>27</v>
      </c>
      <c r="H8" cm="1">
        <f t="array" ref="H8">FromTimeCode(24,Tableau1[[#This Row],[tcin]])</f>
        <v>977407</v>
      </c>
      <c r="I8" cm="1">
        <f t="array" ref="I8">FromTimeCode(24,Tableau1[[#This Row],[tcout]])</f>
        <v>977773</v>
      </c>
      <c r="J8">
        <f>Tableau1[[#This Row],[imgOUT]]-Tableau1[[#This Row],[imgIN]]+1</f>
        <v>367</v>
      </c>
      <c r="K8" s="1" t="str" cm="1">
        <f t="array" ref="K8">ToTimeCode(24,Tableau1[[#This Row],[Images]])</f>
        <v>00:00:15:07</v>
      </c>
      <c r="L8" s="1" t="str" cm="1">
        <f t="array" ref="L8">TCDuree(24,Tableau1[[#This Row],[tcin]],Tableau1[[#This Row],[tcout]])</f>
        <v>00:00:15:07</v>
      </c>
    </row>
    <row r="9" spans="1:12" x14ac:dyDescent="0.25">
      <c r="A9">
        <v>244</v>
      </c>
      <c r="B9" t="s">
        <v>163</v>
      </c>
      <c r="C9" t="s">
        <v>163</v>
      </c>
      <c r="D9" t="s">
        <v>163</v>
      </c>
      <c r="E9" t="s">
        <v>28</v>
      </c>
      <c r="F9" t="s">
        <v>29</v>
      </c>
      <c r="G9" t="s">
        <v>30</v>
      </c>
      <c r="H9" cm="1">
        <f t="array" ref="H9">FromTimeCode(24,Tableau1[[#This Row],[tcin]])</f>
        <v>978104</v>
      </c>
      <c r="I9" cm="1">
        <f t="array" ref="I9">FromTimeCode(24,Tableau1[[#This Row],[tcout]])</f>
        <v>978273</v>
      </c>
      <c r="J9">
        <f>Tableau1[[#This Row],[imgOUT]]-Tableau1[[#This Row],[imgIN]]+1</f>
        <v>170</v>
      </c>
      <c r="K9" s="1" t="str" cm="1">
        <f t="array" ref="K9">ToTimeCode(24,Tableau1[[#This Row],[Images]])</f>
        <v>00:00:07:02</v>
      </c>
      <c r="L9" s="1" t="str" cm="1">
        <f t="array" ref="L9">TCDuree(24,Tableau1[[#This Row],[tcin]],Tableau1[[#This Row],[tcout]])</f>
        <v>00:00:07:02</v>
      </c>
    </row>
    <row r="10" spans="1:12" x14ac:dyDescent="0.25">
      <c r="A10">
        <v>245</v>
      </c>
      <c r="B10" t="s">
        <v>164</v>
      </c>
      <c r="C10" t="s">
        <v>164</v>
      </c>
      <c r="D10" t="s">
        <v>164</v>
      </c>
      <c r="E10" t="s">
        <v>31</v>
      </c>
      <c r="F10" t="s">
        <v>32</v>
      </c>
      <c r="G10" t="s">
        <v>33</v>
      </c>
      <c r="H10" cm="1">
        <f t="array" ref="H10">FromTimeCode(24,Tableau1[[#This Row],[tcin]])</f>
        <v>978274</v>
      </c>
      <c r="I10" cm="1">
        <f t="array" ref="I10">FromTimeCode(24,Tableau1[[#This Row],[tcout]])</f>
        <v>978379</v>
      </c>
      <c r="J10">
        <f>Tableau1[[#This Row],[imgOUT]]-Tableau1[[#This Row],[imgIN]]+1</f>
        <v>106</v>
      </c>
      <c r="K10" s="1" t="str" cm="1">
        <f t="array" ref="K10">ToTimeCode(24,Tableau1[[#This Row],[Images]])</f>
        <v>00:00:04:10</v>
      </c>
      <c r="L10" s="1" t="str" cm="1">
        <f t="array" ref="L10">TCDuree(24,Tableau1[[#This Row],[tcin]],Tableau1[[#This Row],[tcout]])</f>
        <v>00:00:04:10</v>
      </c>
    </row>
    <row r="11" spans="1:12" x14ac:dyDescent="0.25">
      <c r="A11">
        <v>246</v>
      </c>
      <c r="B11" t="s">
        <v>165</v>
      </c>
      <c r="C11" t="s">
        <v>165</v>
      </c>
      <c r="D11" t="s">
        <v>165</v>
      </c>
      <c r="E11" t="s">
        <v>34</v>
      </c>
      <c r="F11" t="s">
        <v>35</v>
      </c>
      <c r="G11" t="s">
        <v>12</v>
      </c>
      <c r="H11" cm="1">
        <f t="array" ref="H11">FromTimeCode(24,Tableau1[[#This Row],[tcin]])</f>
        <v>978749</v>
      </c>
      <c r="I11" cm="1">
        <f t="array" ref="I11">FromTimeCode(24,Tableau1[[#This Row],[tcout]])</f>
        <v>978990</v>
      </c>
      <c r="J11">
        <f>Tableau1[[#This Row],[imgOUT]]-Tableau1[[#This Row],[imgIN]]+1</f>
        <v>242</v>
      </c>
      <c r="K11" s="1" t="str" cm="1">
        <f t="array" ref="K11">ToTimeCode(24,Tableau1[[#This Row],[Images]])</f>
        <v>00:00:10:02</v>
      </c>
      <c r="L11" s="1" t="str" cm="1">
        <f t="array" ref="L11">TCDuree(24,Tableau1[[#This Row],[tcin]],Tableau1[[#This Row],[tcout]])</f>
        <v>00:00:10:02</v>
      </c>
    </row>
    <row r="12" spans="1:12" x14ac:dyDescent="0.25">
      <c r="A12">
        <v>228</v>
      </c>
      <c r="B12" t="s">
        <v>166</v>
      </c>
      <c r="C12" t="s">
        <v>166</v>
      </c>
      <c r="D12" t="s">
        <v>166</v>
      </c>
      <c r="E12" t="s">
        <v>36</v>
      </c>
      <c r="F12" t="s">
        <v>37</v>
      </c>
      <c r="G12" t="s">
        <v>38</v>
      </c>
      <c r="H12" cm="1">
        <f t="array" ref="H12">FromTimeCode(24,Tableau1[[#This Row],[tcin]])</f>
        <v>952042</v>
      </c>
      <c r="I12" cm="1">
        <f t="array" ref="I12">FromTimeCode(24,Tableau1[[#This Row],[tcout]])</f>
        <v>952141</v>
      </c>
      <c r="J12">
        <f>Tableau1[[#This Row],[imgOUT]]-Tableau1[[#This Row],[imgIN]]+1</f>
        <v>100</v>
      </c>
      <c r="K12" s="1" t="str" cm="1">
        <f t="array" ref="K12">ToTimeCode(24,Tableau1[[#This Row],[Images]])</f>
        <v>00:00:04:04</v>
      </c>
      <c r="L12" s="1" t="str" cm="1">
        <f t="array" ref="L12">TCDuree(24,Tableau1[[#This Row],[tcin]],Tableau1[[#This Row],[tcout]])</f>
        <v>00:00:04:04</v>
      </c>
    </row>
    <row r="13" spans="1:12" x14ac:dyDescent="0.25">
      <c r="A13">
        <v>266</v>
      </c>
      <c r="B13" t="s">
        <v>167</v>
      </c>
      <c r="C13" t="s">
        <v>167</v>
      </c>
      <c r="D13" t="s">
        <v>167</v>
      </c>
      <c r="E13" t="s">
        <v>39</v>
      </c>
      <c r="F13" t="s">
        <v>40</v>
      </c>
      <c r="G13" t="s">
        <v>41</v>
      </c>
      <c r="H13" cm="1">
        <f t="array" ref="H13">FromTimeCode(24,Tableau1[[#This Row],[tcin]])</f>
        <v>1018231</v>
      </c>
      <c r="I13" cm="1">
        <f t="array" ref="I13">FromTimeCode(24,Tableau1[[#This Row],[tcout]])</f>
        <v>1018333</v>
      </c>
      <c r="J13">
        <f>Tableau1[[#This Row],[imgOUT]]-Tableau1[[#This Row],[imgIN]]+1</f>
        <v>103</v>
      </c>
      <c r="K13" s="1" t="str" cm="1">
        <f t="array" ref="K13">ToTimeCode(24,Tableau1[[#This Row],[Images]])</f>
        <v>00:00:04:07</v>
      </c>
      <c r="L13" s="1" t="str" cm="1">
        <f t="array" ref="L13">TCDuree(24,Tableau1[[#This Row],[tcin]],Tableau1[[#This Row],[tcout]])</f>
        <v>00:00:04:07</v>
      </c>
    </row>
    <row r="14" spans="1:12" x14ac:dyDescent="0.25">
      <c r="A14">
        <v>267</v>
      </c>
      <c r="B14" t="s">
        <v>168</v>
      </c>
      <c r="C14" t="s">
        <v>168</v>
      </c>
      <c r="D14" t="s">
        <v>168</v>
      </c>
      <c r="E14" t="s">
        <v>42</v>
      </c>
      <c r="F14" t="s">
        <v>43</v>
      </c>
      <c r="G14" t="s">
        <v>44</v>
      </c>
      <c r="H14" cm="1">
        <f t="array" ref="H14">FromTimeCode(24,Tableau1[[#This Row],[tcin]])</f>
        <v>1018334</v>
      </c>
      <c r="I14" cm="1">
        <f t="array" ref="I14">FromTimeCode(24,Tableau1[[#This Row],[tcout]])</f>
        <v>1018524</v>
      </c>
      <c r="J14">
        <f>Tableau1[[#This Row],[imgOUT]]-Tableau1[[#This Row],[imgIN]]+1</f>
        <v>191</v>
      </c>
      <c r="K14" s="1" t="str" cm="1">
        <f t="array" ref="K14">ToTimeCode(24,Tableau1[[#This Row],[Images]])</f>
        <v>00:00:07:23</v>
      </c>
      <c r="L14" s="1" t="str" cm="1">
        <f t="array" ref="L14">TCDuree(24,Tableau1[[#This Row],[tcin]],Tableau1[[#This Row],[tcout]])</f>
        <v>00:00:07:23</v>
      </c>
    </row>
    <row r="15" spans="1:12" x14ac:dyDescent="0.25">
      <c r="A15">
        <v>268</v>
      </c>
      <c r="B15" t="s">
        <v>169</v>
      </c>
      <c r="C15" t="s">
        <v>169</v>
      </c>
      <c r="D15" t="s">
        <v>169</v>
      </c>
      <c r="E15" t="s">
        <v>45</v>
      </c>
      <c r="F15" t="s">
        <v>46</v>
      </c>
      <c r="G15" t="s">
        <v>47</v>
      </c>
      <c r="H15" cm="1">
        <f t="array" ref="H15">FromTimeCode(24,Tableau1[[#This Row],[tcin]])</f>
        <v>1018525</v>
      </c>
      <c r="I15" cm="1">
        <f t="array" ref="I15">FromTimeCode(24,Tableau1[[#This Row],[tcout]])</f>
        <v>1018577</v>
      </c>
      <c r="J15">
        <f>Tableau1[[#This Row],[imgOUT]]-Tableau1[[#This Row],[imgIN]]+1</f>
        <v>53</v>
      </c>
      <c r="K15" s="1" t="str" cm="1">
        <f t="array" ref="K15">ToTimeCode(24,Tableau1[[#This Row],[Images]])</f>
        <v>00:00:02:05</v>
      </c>
      <c r="L15" s="1" t="str" cm="1">
        <f t="array" ref="L15">TCDuree(24,Tableau1[[#This Row],[tcin]],Tableau1[[#This Row],[tcout]])</f>
        <v>00:00:02:05</v>
      </c>
    </row>
    <row r="16" spans="1:12" x14ac:dyDescent="0.25">
      <c r="A16">
        <v>269</v>
      </c>
      <c r="B16" t="s">
        <v>170</v>
      </c>
      <c r="C16" t="s">
        <v>170</v>
      </c>
      <c r="D16" t="s">
        <v>170</v>
      </c>
      <c r="E16" t="s">
        <v>48</v>
      </c>
      <c r="F16" t="s">
        <v>49</v>
      </c>
      <c r="G16" t="s">
        <v>50</v>
      </c>
      <c r="H16" cm="1">
        <f t="array" ref="H16">FromTimeCode(24,Tableau1[[#This Row],[tcin]])</f>
        <v>1018578</v>
      </c>
      <c r="I16" cm="1">
        <f t="array" ref="I16">FromTimeCode(24,Tableau1[[#This Row],[tcout]])</f>
        <v>1018755</v>
      </c>
      <c r="J16">
        <f>Tableau1[[#This Row],[imgOUT]]-Tableau1[[#This Row],[imgIN]]+1</f>
        <v>178</v>
      </c>
      <c r="K16" s="1" t="str" cm="1">
        <f t="array" ref="K16">ToTimeCode(24,Tableau1[[#This Row],[Images]])</f>
        <v>00:00:07:10</v>
      </c>
      <c r="L16" s="1" t="str" cm="1">
        <f t="array" ref="L16">TCDuree(24,Tableau1[[#This Row],[tcin]],Tableau1[[#This Row],[tcout]])</f>
        <v>00:00:07:10</v>
      </c>
    </row>
    <row r="17" spans="1:12" x14ac:dyDescent="0.25">
      <c r="A17">
        <v>270</v>
      </c>
      <c r="B17" t="s">
        <v>171</v>
      </c>
      <c r="C17" t="s">
        <v>171</v>
      </c>
      <c r="D17" t="s">
        <v>171</v>
      </c>
      <c r="E17" t="s">
        <v>51</v>
      </c>
      <c r="F17" t="s">
        <v>52</v>
      </c>
      <c r="G17" t="s">
        <v>53</v>
      </c>
      <c r="H17" cm="1">
        <f t="array" ref="H17">FromTimeCode(24,Tableau1[[#This Row],[tcin]])</f>
        <v>1018756</v>
      </c>
      <c r="I17" cm="1">
        <f t="array" ref="I17">FromTimeCode(24,Tableau1[[#This Row],[tcout]])</f>
        <v>1018887</v>
      </c>
      <c r="J17">
        <f>Tableau1[[#This Row],[imgOUT]]-Tableau1[[#This Row],[imgIN]]+1</f>
        <v>132</v>
      </c>
      <c r="K17" s="1" t="str" cm="1">
        <f t="array" ref="K17">ToTimeCode(24,Tableau1[[#This Row],[Images]])</f>
        <v>00:00:05:12</v>
      </c>
      <c r="L17" s="1" t="str" cm="1">
        <f t="array" ref="L17">TCDuree(24,Tableau1[[#This Row],[tcin]],Tableau1[[#This Row],[tcout]])</f>
        <v>00:00:05:12</v>
      </c>
    </row>
    <row r="18" spans="1:12" x14ac:dyDescent="0.25">
      <c r="A18">
        <v>212</v>
      </c>
      <c r="B18" t="s">
        <v>172</v>
      </c>
      <c r="C18" t="s">
        <v>172</v>
      </c>
      <c r="D18" t="s">
        <v>172</v>
      </c>
      <c r="E18" t="s">
        <v>54</v>
      </c>
      <c r="F18" t="s">
        <v>55</v>
      </c>
      <c r="G18" t="s">
        <v>56</v>
      </c>
      <c r="H18" cm="1">
        <f t="array" ref="H18">FromTimeCode(24,Tableau1[[#This Row],[tcin]])</f>
        <v>946248</v>
      </c>
      <c r="I18" cm="1">
        <f t="array" ref="I18">FromTimeCode(24,Tableau1[[#This Row],[tcout]])</f>
        <v>946306</v>
      </c>
      <c r="J18">
        <f>Tableau1[[#This Row],[imgOUT]]-Tableau1[[#This Row],[imgIN]]+1</f>
        <v>59</v>
      </c>
      <c r="K18" s="1" t="str" cm="1">
        <f t="array" ref="K18">ToTimeCode(24,Tableau1[[#This Row],[Images]])</f>
        <v>00:00:02:11</v>
      </c>
      <c r="L18" s="1" t="str" cm="1">
        <f t="array" ref="L18">TCDuree(24,Tableau1[[#This Row],[tcin]],Tableau1[[#This Row],[tcout]])</f>
        <v>00:00:02:11</v>
      </c>
    </row>
    <row r="19" spans="1:12" x14ac:dyDescent="0.25">
      <c r="A19">
        <v>213</v>
      </c>
      <c r="B19" t="s">
        <v>173</v>
      </c>
      <c r="C19" t="s">
        <v>173</v>
      </c>
      <c r="D19" t="s">
        <v>173</v>
      </c>
      <c r="E19" t="s">
        <v>57</v>
      </c>
      <c r="F19" t="s">
        <v>58</v>
      </c>
      <c r="G19" t="s">
        <v>59</v>
      </c>
      <c r="H19" cm="1">
        <f t="array" ref="H19">FromTimeCode(24,Tableau1[[#This Row],[tcin]])</f>
        <v>946307</v>
      </c>
      <c r="I19" cm="1">
        <f t="array" ref="I19">FromTimeCode(24,Tableau1[[#This Row],[tcout]])</f>
        <v>946437</v>
      </c>
      <c r="J19">
        <f>Tableau1[[#This Row],[imgOUT]]-Tableau1[[#This Row],[imgIN]]+1</f>
        <v>131</v>
      </c>
      <c r="K19" s="1" t="str" cm="1">
        <f t="array" ref="K19">ToTimeCode(24,Tableau1[[#This Row],[Images]])</f>
        <v>00:00:05:11</v>
      </c>
      <c r="L19" s="1" t="str" cm="1">
        <f t="array" ref="L19">TCDuree(24,Tableau1[[#This Row],[tcin]],Tableau1[[#This Row],[tcout]])</f>
        <v>00:00:05:11</v>
      </c>
    </row>
    <row r="20" spans="1:12" x14ac:dyDescent="0.25">
      <c r="A20">
        <v>56</v>
      </c>
      <c r="B20" t="s">
        <v>174</v>
      </c>
      <c r="C20" t="s">
        <v>174</v>
      </c>
      <c r="D20" t="s">
        <v>174</v>
      </c>
      <c r="E20" t="s">
        <v>60</v>
      </c>
      <c r="F20" t="s">
        <v>61</v>
      </c>
      <c r="G20" t="s">
        <v>62</v>
      </c>
      <c r="H20" cm="1">
        <f t="array" ref="H20">FromTimeCode(24,Tableau1[[#This Row],[tcin]])</f>
        <v>886028</v>
      </c>
      <c r="I20" cm="1">
        <f t="array" ref="I20">FromTimeCode(24,Tableau1[[#This Row],[tcout]])</f>
        <v>886224</v>
      </c>
      <c r="J20">
        <f>Tableau1[[#This Row],[imgOUT]]-Tableau1[[#This Row],[imgIN]]+1</f>
        <v>197</v>
      </c>
      <c r="K20" s="1" t="str" cm="1">
        <f t="array" ref="K20">ToTimeCode(24,Tableau1[[#This Row],[Images]])</f>
        <v>00:00:08:05</v>
      </c>
      <c r="L20" s="1" t="str" cm="1">
        <f t="array" ref="L20">TCDuree(24,Tableau1[[#This Row],[tcin]],Tableau1[[#This Row],[tcout]])</f>
        <v>00:00:08:05</v>
      </c>
    </row>
    <row r="21" spans="1:12" x14ac:dyDescent="0.25">
      <c r="A21">
        <v>64</v>
      </c>
      <c r="B21" t="s">
        <v>175</v>
      </c>
      <c r="C21" t="s">
        <v>175</v>
      </c>
      <c r="D21" t="s">
        <v>175</v>
      </c>
      <c r="E21" t="s">
        <v>63</v>
      </c>
      <c r="F21" t="s">
        <v>64</v>
      </c>
      <c r="G21" t="s">
        <v>65</v>
      </c>
      <c r="H21" cm="1">
        <f t="array" ref="H21">FromTimeCode(24,Tableau1[[#This Row],[tcin]])</f>
        <v>891707</v>
      </c>
      <c r="I21" cm="1">
        <f t="array" ref="I21">FromTimeCode(24,Tableau1[[#This Row],[tcout]])</f>
        <v>891807</v>
      </c>
      <c r="J21">
        <f>Tableau1[[#This Row],[imgOUT]]-Tableau1[[#This Row],[imgIN]]+1</f>
        <v>101</v>
      </c>
      <c r="K21" s="1" t="str" cm="1">
        <f t="array" ref="K21">ToTimeCode(24,Tableau1[[#This Row],[Images]])</f>
        <v>00:00:04:05</v>
      </c>
      <c r="L21" s="1" t="str" cm="1">
        <f t="array" ref="L21">TCDuree(24,Tableau1[[#This Row],[tcin]],Tableau1[[#This Row],[tcout]])</f>
        <v>00:00:04:05</v>
      </c>
    </row>
    <row r="22" spans="1:12" x14ac:dyDescent="0.25">
      <c r="A22">
        <v>65</v>
      </c>
      <c r="B22" t="s">
        <v>176</v>
      </c>
      <c r="C22" t="s">
        <v>176</v>
      </c>
      <c r="D22" t="s">
        <v>176</v>
      </c>
      <c r="E22" t="s">
        <v>66</v>
      </c>
      <c r="F22" t="s">
        <v>67</v>
      </c>
      <c r="G22" t="s">
        <v>68</v>
      </c>
      <c r="H22" cm="1">
        <f t="array" ref="H22">FromTimeCode(24,Tableau1[[#This Row],[tcin]])</f>
        <v>891808</v>
      </c>
      <c r="I22" cm="1">
        <f t="array" ref="I22">FromTimeCode(24,Tableau1[[#This Row],[tcout]])</f>
        <v>891913</v>
      </c>
      <c r="J22">
        <f>Tableau1[[#This Row],[imgOUT]]-Tableau1[[#This Row],[imgIN]]+1</f>
        <v>106</v>
      </c>
      <c r="K22" s="1" t="str" cm="1">
        <f t="array" ref="K22">ToTimeCode(24,Tableau1[[#This Row],[Images]])</f>
        <v>00:00:04:10</v>
      </c>
      <c r="L22" s="1" t="str" cm="1">
        <f t="array" ref="L22">TCDuree(24,Tableau1[[#This Row],[tcin]],Tableau1[[#This Row],[tcout]])</f>
        <v>00:00:04:10</v>
      </c>
    </row>
    <row r="23" spans="1:12" x14ac:dyDescent="0.25">
      <c r="A23">
        <v>66</v>
      </c>
      <c r="B23" t="s">
        <v>177</v>
      </c>
      <c r="C23" t="s">
        <v>177</v>
      </c>
      <c r="D23" t="s">
        <v>177</v>
      </c>
      <c r="E23" t="s">
        <v>69</v>
      </c>
      <c r="F23" t="s">
        <v>70</v>
      </c>
      <c r="G23" t="s">
        <v>71</v>
      </c>
      <c r="H23" cm="1">
        <f t="array" ref="H23">FromTimeCode(24,Tableau1[[#This Row],[tcin]])</f>
        <v>891914</v>
      </c>
      <c r="I23" cm="1">
        <f t="array" ref="I23">FromTimeCode(24,Tableau1[[#This Row],[tcout]])</f>
        <v>892030</v>
      </c>
      <c r="J23">
        <f>Tableau1[[#This Row],[imgOUT]]-Tableau1[[#This Row],[imgIN]]+1</f>
        <v>117</v>
      </c>
      <c r="K23" s="1" t="str" cm="1">
        <f t="array" ref="K23">ToTimeCode(24,Tableau1[[#This Row],[Images]])</f>
        <v>00:00:04:21</v>
      </c>
      <c r="L23" s="1" t="str" cm="1">
        <f t="array" ref="L23">TCDuree(24,Tableau1[[#This Row],[tcin]],Tableau1[[#This Row],[tcout]])</f>
        <v>00:00:04:21</v>
      </c>
    </row>
    <row r="24" spans="1:12" x14ac:dyDescent="0.25">
      <c r="A24">
        <v>70</v>
      </c>
      <c r="B24" t="s">
        <v>178</v>
      </c>
      <c r="C24" t="s">
        <v>178</v>
      </c>
      <c r="D24" t="s">
        <v>178</v>
      </c>
      <c r="E24" t="s">
        <v>72</v>
      </c>
      <c r="F24" t="s">
        <v>73</v>
      </c>
      <c r="G24" t="s">
        <v>41</v>
      </c>
      <c r="H24" cm="1">
        <f t="array" ref="H24">FromTimeCode(24,Tableau1[[#This Row],[tcin]])</f>
        <v>892734</v>
      </c>
      <c r="I24" cm="1">
        <f t="array" ref="I24">FromTimeCode(24,Tableau1[[#This Row],[tcout]])</f>
        <v>892836</v>
      </c>
      <c r="J24">
        <f>Tableau1[[#This Row],[imgOUT]]-Tableau1[[#This Row],[imgIN]]+1</f>
        <v>103</v>
      </c>
      <c r="K24" s="1" t="str" cm="1">
        <f t="array" ref="K24">ToTimeCode(24,Tableau1[[#This Row],[Images]])</f>
        <v>00:00:04:07</v>
      </c>
      <c r="L24" s="1" t="str" cm="1">
        <f t="array" ref="L24">TCDuree(24,Tableau1[[#This Row],[tcin]],Tableau1[[#This Row],[tcout]])</f>
        <v>00:00:04:07</v>
      </c>
    </row>
    <row r="25" spans="1:12" x14ac:dyDescent="0.25">
      <c r="A25">
        <v>79</v>
      </c>
      <c r="B25" t="s">
        <v>179</v>
      </c>
      <c r="C25" t="s">
        <v>179</v>
      </c>
      <c r="D25" t="s">
        <v>179</v>
      </c>
      <c r="E25" t="s">
        <v>74</v>
      </c>
      <c r="F25" t="s">
        <v>75</v>
      </c>
      <c r="G25" t="s">
        <v>76</v>
      </c>
      <c r="H25" cm="1">
        <f t="array" ref="H25">FromTimeCode(24,Tableau1[[#This Row],[tcin]])</f>
        <v>897880</v>
      </c>
      <c r="I25" cm="1">
        <f t="array" ref="I25">FromTimeCode(24,Tableau1[[#This Row],[tcout]])</f>
        <v>897963</v>
      </c>
      <c r="J25">
        <f>Tableau1[[#This Row],[imgOUT]]-Tableau1[[#This Row],[imgIN]]+1</f>
        <v>84</v>
      </c>
      <c r="K25" s="1" t="str" cm="1">
        <f t="array" ref="K25">ToTimeCode(24,Tableau1[[#This Row],[Images]])</f>
        <v>00:00:03:12</v>
      </c>
      <c r="L25" s="1" t="str" cm="1">
        <f t="array" ref="L25">TCDuree(24,Tableau1[[#This Row],[tcin]],Tableau1[[#This Row],[tcout]])</f>
        <v>00:00:03:12</v>
      </c>
    </row>
    <row r="26" spans="1:12" x14ac:dyDescent="0.25">
      <c r="A26">
        <v>80</v>
      </c>
      <c r="B26" t="s">
        <v>180</v>
      </c>
      <c r="C26" t="s">
        <v>180</v>
      </c>
      <c r="D26" t="s">
        <v>180</v>
      </c>
      <c r="E26" t="s">
        <v>77</v>
      </c>
      <c r="F26" t="s">
        <v>78</v>
      </c>
      <c r="G26" t="s">
        <v>79</v>
      </c>
      <c r="H26" cm="1">
        <f t="array" ref="H26">FromTimeCode(24,Tableau1[[#This Row],[tcin]])</f>
        <v>897964</v>
      </c>
      <c r="I26" cm="1">
        <f t="array" ref="I26">FromTimeCode(24,Tableau1[[#This Row],[tcout]])</f>
        <v>898051</v>
      </c>
      <c r="J26">
        <f>Tableau1[[#This Row],[imgOUT]]-Tableau1[[#This Row],[imgIN]]+1</f>
        <v>88</v>
      </c>
      <c r="K26" s="1" t="str" cm="1">
        <f t="array" ref="K26">ToTimeCode(24,Tableau1[[#This Row],[Images]])</f>
        <v>00:00:03:16</v>
      </c>
      <c r="L26" s="1" t="str" cm="1">
        <f t="array" ref="L26">TCDuree(24,Tableau1[[#This Row],[tcin]],Tableau1[[#This Row],[tcout]])</f>
        <v>00:00:03:16</v>
      </c>
    </row>
    <row r="27" spans="1:12" x14ac:dyDescent="0.25">
      <c r="A27">
        <v>170</v>
      </c>
      <c r="B27" t="s">
        <v>181</v>
      </c>
      <c r="C27" t="s">
        <v>181</v>
      </c>
      <c r="D27" t="s">
        <v>181</v>
      </c>
      <c r="E27" t="s">
        <v>80</v>
      </c>
      <c r="F27" t="s">
        <v>81</v>
      </c>
      <c r="G27" t="s">
        <v>82</v>
      </c>
      <c r="H27" cm="1">
        <f t="array" ref="H27">FromTimeCode(24,Tableau1[[#This Row],[tcin]])</f>
        <v>925479</v>
      </c>
      <c r="I27" cm="1">
        <f t="array" ref="I27">FromTimeCode(24,Tableau1[[#This Row],[tcout]])</f>
        <v>925645</v>
      </c>
      <c r="J27">
        <f>Tableau1[[#This Row],[imgOUT]]-Tableau1[[#This Row],[imgIN]]+1</f>
        <v>167</v>
      </c>
      <c r="K27" s="1" t="str" cm="1">
        <f t="array" ref="K27">ToTimeCode(24,Tableau1[[#This Row],[Images]])</f>
        <v>00:00:06:23</v>
      </c>
      <c r="L27" s="1" t="str" cm="1">
        <f t="array" ref="L27">TCDuree(24,Tableau1[[#This Row],[tcin]],Tableau1[[#This Row],[tcout]])</f>
        <v>00:00:06:23</v>
      </c>
    </row>
    <row r="28" spans="1:12" x14ac:dyDescent="0.25">
      <c r="A28">
        <v>174</v>
      </c>
      <c r="B28" t="s">
        <v>182</v>
      </c>
      <c r="C28" t="s">
        <v>182</v>
      </c>
      <c r="D28" t="s">
        <v>182</v>
      </c>
      <c r="E28" t="s">
        <v>83</v>
      </c>
      <c r="F28" t="s">
        <v>84</v>
      </c>
      <c r="G28" t="s">
        <v>18</v>
      </c>
      <c r="H28" cm="1">
        <f t="array" ref="H28">FromTimeCode(24,Tableau1[[#This Row],[tcin]])</f>
        <v>926181</v>
      </c>
      <c r="I28" cm="1">
        <f t="array" ref="I28">FromTimeCode(24,Tableau1[[#This Row],[tcout]])</f>
        <v>926309</v>
      </c>
      <c r="J28">
        <f>Tableau1[[#This Row],[imgOUT]]-Tableau1[[#This Row],[imgIN]]+1</f>
        <v>129</v>
      </c>
      <c r="K28" s="1" t="str" cm="1">
        <f t="array" ref="K28">ToTimeCode(24,Tableau1[[#This Row],[Images]])</f>
        <v>00:00:05:09</v>
      </c>
      <c r="L28" s="1" t="str" cm="1">
        <f t="array" ref="L28">TCDuree(24,Tableau1[[#This Row],[tcin]],Tableau1[[#This Row],[tcout]])</f>
        <v>00:00:05:09</v>
      </c>
    </row>
    <row r="29" spans="1:12" x14ac:dyDescent="0.25">
      <c r="A29">
        <v>177</v>
      </c>
      <c r="B29" t="s">
        <v>183</v>
      </c>
      <c r="C29" t="s">
        <v>183</v>
      </c>
      <c r="D29" t="s">
        <v>183</v>
      </c>
      <c r="E29" t="s">
        <v>85</v>
      </c>
      <c r="F29" t="s">
        <v>86</v>
      </c>
      <c r="G29" t="s">
        <v>87</v>
      </c>
      <c r="H29" cm="1">
        <f t="array" ref="H29">FromTimeCode(24,Tableau1[[#This Row],[tcin]])</f>
        <v>927538</v>
      </c>
      <c r="I29" cm="1">
        <f t="array" ref="I29">FromTimeCode(24,Tableau1[[#This Row],[tcout]])</f>
        <v>927611</v>
      </c>
      <c r="J29">
        <f>Tableau1[[#This Row],[imgOUT]]-Tableau1[[#This Row],[imgIN]]+1</f>
        <v>74</v>
      </c>
      <c r="K29" s="1" t="str" cm="1">
        <f t="array" ref="K29">ToTimeCode(24,Tableau1[[#This Row],[Images]])</f>
        <v>00:00:03:02</v>
      </c>
      <c r="L29" s="1" t="str" cm="1">
        <f t="array" ref="L29">TCDuree(24,Tableau1[[#This Row],[tcin]],Tableau1[[#This Row],[tcout]])</f>
        <v>00:00:03:02</v>
      </c>
    </row>
    <row r="30" spans="1:12" x14ac:dyDescent="0.25">
      <c r="A30">
        <v>178</v>
      </c>
      <c r="B30" t="s">
        <v>184</v>
      </c>
      <c r="C30" t="s">
        <v>184</v>
      </c>
      <c r="D30" t="s">
        <v>184</v>
      </c>
      <c r="E30" t="s">
        <v>88</v>
      </c>
      <c r="F30" t="s">
        <v>89</v>
      </c>
      <c r="G30" t="s">
        <v>90</v>
      </c>
      <c r="H30" cm="1">
        <f t="array" ref="H30">FromTimeCode(24,Tableau1[[#This Row],[tcin]])</f>
        <v>927612</v>
      </c>
      <c r="I30" cm="1">
        <f t="array" ref="I30">FromTimeCode(24,Tableau1[[#This Row],[tcout]])</f>
        <v>927954</v>
      </c>
      <c r="J30">
        <f>Tableau1[[#This Row],[imgOUT]]-Tableau1[[#This Row],[imgIN]]+1</f>
        <v>343</v>
      </c>
      <c r="K30" s="1" t="str" cm="1">
        <f t="array" ref="K30">ToTimeCode(24,Tableau1[[#This Row],[Images]])</f>
        <v>00:00:14:07</v>
      </c>
      <c r="L30" s="1" t="str" cm="1">
        <f t="array" ref="L30">TCDuree(24,Tableau1[[#This Row],[tcin]],Tableau1[[#This Row],[tcout]])</f>
        <v>00:00:14:07</v>
      </c>
    </row>
    <row r="31" spans="1:12" x14ac:dyDescent="0.25">
      <c r="A31">
        <v>179</v>
      </c>
      <c r="B31" t="s">
        <v>185</v>
      </c>
      <c r="C31" t="s">
        <v>185</v>
      </c>
      <c r="D31" t="s">
        <v>185</v>
      </c>
      <c r="E31" t="s">
        <v>91</v>
      </c>
      <c r="F31" t="s">
        <v>92</v>
      </c>
      <c r="G31" t="s">
        <v>93</v>
      </c>
      <c r="H31" cm="1">
        <f t="array" ref="H31">FromTimeCode(24,Tableau1[[#This Row],[tcin]])</f>
        <v>927955</v>
      </c>
      <c r="I31" cm="1">
        <f t="array" ref="I31">FromTimeCode(24,Tableau1[[#This Row],[tcout]])</f>
        <v>928113</v>
      </c>
      <c r="J31">
        <f>Tableau1[[#This Row],[imgOUT]]-Tableau1[[#This Row],[imgIN]]+1</f>
        <v>159</v>
      </c>
      <c r="K31" s="1" t="str" cm="1">
        <f t="array" ref="K31">ToTimeCode(24,Tableau1[[#This Row],[Images]])</f>
        <v>00:00:06:15</v>
      </c>
      <c r="L31" s="1" t="str" cm="1">
        <f t="array" ref="L31">TCDuree(24,Tableau1[[#This Row],[tcin]],Tableau1[[#This Row],[tcout]])</f>
        <v>00:00:06:15</v>
      </c>
    </row>
    <row r="32" spans="1:12" x14ac:dyDescent="0.25">
      <c r="A32">
        <v>182</v>
      </c>
      <c r="B32" t="s">
        <v>186</v>
      </c>
      <c r="C32" t="s">
        <v>186</v>
      </c>
      <c r="D32" t="s">
        <v>186</v>
      </c>
      <c r="E32" t="s">
        <v>94</v>
      </c>
      <c r="F32" t="s">
        <v>95</v>
      </c>
      <c r="G32" t="s">
        <v>96</v>
      </c>
      <c r="H32" cm="1">
        <f t="array" ref="H32">FromTimeCode(24,Tableau1[[#This Row],[tcin]])</f>
        <v>928380</v>
      </c>
      <c r="I32" cm="1">
        <f t="array" ref="I32">FromTimeCode(24,Tableau1[[#This Row],[tcout]])</f>
        <v>928447</v>
      </c>
      <c r="J32">
        <f>Tableau1[[#This Row],[imgOUT]]-Tableau1[[#This Row],[imgIN]]+1</f>
        <v>68</v>
      </c>
      <c r="K32" s="1" t="str" cm="1">
        <f t="array" ref="K32">ToTimeCode(24,Tableau1[[#This Row],[Images]])</f>
        <v>00:00:02:20</v>
      </c>
      <c r="L32" s="1" t="str" cm="1">
        <f t="array" ref="L32">TCDuree(24,Tableau1[[#This Row],[tcin]],Tableau1[[#This Row],[tcout]])</f>
        <v>00:00:02:20</v>
      </c>
    </row>
    <row r="33" spans="1:12" x14ac:dyDescent="0.25">
      <c r="A33">
        <v>184</v>
      </c>
      <c r="B33" t="s">
        <v>187</v>
      </c>
      <c r="C33" t="s">
        <v>187</v>
      </c>
      <c r="D33" t="s">
        <v>187</v>
      </c>
      <c r="E33" t="s">
        <v>97</v>
      </c>
      <c r="F33" t="s">
        <v>98</v>
      </c>
      <c r="G33" t="s">
        <v>99</v>
      </c>
      <c r="H33" cm="1">
        <f t="array" ref="H33">FromTimeCode(24,Tableau1[[#This Row],[tcin]])</f>
        <v>928499</v>
      </c>
      <c r="I33" cm="1">
        <f t="array" ref="I33">FromTimeCode(24,Tableau1[[#This Row],[tcout]])</f>
        <v>928588</v>
      </c>
      <c r="J33">
        <f>Tableau1[[#This Row],[imgOUT]]-Tableau1[[#This Row],[imgIN]]+1</f>
        <v>90</v>
      </c>
      <c r="K33" s="1" t="str" cm="1">
        <f t="array" ref="K33">ToTimeCode(24,Tableau1[[#This Row],[Images]])</f>
        <v>00:00:03:18</v>
      </c>
      <c r="L33" s="1" t="str" cm="1">
        <f t="array" ref="L33">TCDuree(24,Tableau1[[#This Row],[tcin]],Tableau1[[#This Row],[tcout]])</f>
        <v>00:00:03:18</v>
      </c>
    </row>
    <row r="34" spans="1:12" x14ac:dyDescent="0.25">
      <c r="A34">
        <v>185</v>
      </c>
      <c r="B34" t="s">
        <v>188</v>
      </c>
      <c r="C34" t="s">
        <v>188</v>
      </c>
      <c r="D34" t="s">
        <v>188</v>
      </c>
      <c r="E34" t="s">
        <v>100</v>
      </c>
      <c r="F34" t="s">
        <v>101</v>
      </c>
      <c r="G34" t="s">
        <v>102</v>
      </c>
      <c r="H34" cm="1">
        <f t="array" ref="H34">FromTimeCode(24,Tableau1[[#This Row],[tcin]])</f>
        <v>928589</v>
      </c>
      <c r="I34" cm="1">
        <f t="array" ref="I34">FromTimeCode(24,Tableau1[[#This Row],[tcout]])</f>
        <v>928935</v>
      </c>
      <c r="J34">
        <f>Tableau1[[#This Row],[imgOUT]]-Tableau1[[#This Row],[imgIN]]+1</f>
        <v>347</v>
      </c>
      <c r="K34" s="1" t="str" cm="1">
        <f t="array" ref="K34">ToTimeCode(24,Tableau1[[#This Row],[Images]])</f>
        <v>00:00:14:11</v>
      </c>
      <c r="L34" s="1" t="str" cm="1">
        <f t="array" ref="L34">TCDuree(24,Tableau1[[#This Row],[tcin]],Tableau1[[#This Row],[tcout]])</f>
        <v>00:00:14:11</v>
      </c>
    </row>
    <row r="35" spans="1:12" x14ac:dyDescent="0.25">
      <c r="A35">
        <v>186</v>
      </c>
      <c r="B35" t="s">
        <v>189</v>
      </c>
      <c r="C35" t="s">
        <v>189</v>
      </c>
      <c r="D35" t="s">
        <v>189</v>
      </c>
      <c r="E35" t="s">
        <v>103</v>
      </c>
      <c r="F35" t="s">
        <v>104</v>
      </c>
      <c r="G35" t="s">
        <v>105</v>
      </c>
      <c r="H35" cm="1">
        <f t="array" ref="H35">FromTimeCode(24,Tableau1[[#This Row],[tcin]])</f>
        <v>928936</v>
      </c>
      <c r="I35" cm="1">
        <f t="array" ref="I35">FromTimeCode(24,Tableau1[[#This Row],[tcout]])</f>
        <v>929204</v>
      </c>
      <c r="J35">
        <f>Tableau1[[#This Row],[imgOUT]]-Tableau1[[#This Row],[imgIN]]+1</f>
        <v>269</v>
      </c>
      <c r="K35" s="1" t="str" cm="1">
        <f t="array" ref="K35">ToTimeCode(24,Tableau1[[#This Row],[Images]])</f>
        <v>00:00:11:05</v>
      </c>
      <c r="L35" s="1" t="str" cm="1">
        <f t="array" ref="L35">TCDuree(24,Tableau1[[#This Row],[tcin]],Tableau1[[#This Row],[tcout]])</f>
        <v>00:00:11:05</v>
      </c>
    </row>
    <row r="36" spans="1:12" x14ac:dyDescent="0.25">
      <c r="A36">
        <v>239</v>
      </c>
      <c r="B36" t="s">
        <v>190</v>
      </c>
      <c r="C36" t="s">
        <v>190</v>
      </c>
      <c r="D36" t="s">
        <v>190</v>
      </c>
      <c r="E36" t="s">
        <v>106</v>
      </c>
      <c r="F36" t="s">
        <v>107</v>
      </c>
      <c r="G36" t="s">
        <v>108</v>
      </c>
      <c r="H36" cm="1">
        <f t="array" ref="H36">FromTimeCode(24,Tableau1[[#This Row],[tcin]])</f>
        <v>971970</v>
      </c>
      <c r="I36" cm="1">
        <f t="array" ref="I36">FromTimeCode(24,Tableau1[[#This Row],[tcout]])</f>
        <v>972130</v>
      </c>
      <c r="J36">
        <f>Tableau1[[#This Row],[imgOUT]]-Tableau1[[#This Row],[imgIN]]+1</f>
        <v>161</v>
      </c>
      <c r="K36" s="1" t="str" cm="1">
        <f t="array" ref="K36">ToTimeCode(24,Tableau1[[#This Row],[Images]])</f>
        <v>00:00:06:17</v>
      </c>
      <c r="L36" s="1" t="str" cm="1">
        <f t="array" ref="L36">TCDuree(24,Tableau1[[#This Row],[tcin]],Tableau1[[#This Row],[tcout]])</f>
        <v>00:00:06:17</v>
      </c>
    </row>
    <row r="37" spans="1:12" x14ac:dyDescent="0.25">
      <c r="A37">
        <v>247</v>
      </c>
      <c r="B37" t="s">
        <v>191</v>
      </c>
      <c r="C37" t="s">
        <v>191</v>
      </c>
      <c r="D37" t="s">
        <v>191</v>
      </c>
      <c r="E37" t="s">
        <v>109</v>
      </c>
      <c r="F37" t="s">
        <v>110</v>
      </c>
      <c r="G37" t="s">
        <v>111</v>
      </c>
      <c r="H37" cm="1">
        <f t="array" ref="H37">FromTimeCode(24,Tableau1[[#This Row],[tcin]])</f>
        <v>985930</v>
      </c>
      <c r="I37" cm="1">
        <f t="array" ref="I37">FromTimeCode(24,Tableau1[[#This Row],[tcout]])</f>
        <v>986252</v>
      </c>
      <c r="J37">
        <f>Tableau1[[#This Row],[imgOUT]]-Tableau1[[#This Row],[imgIN]]+1</f>
        <v>323</v>
      </c>
      <c r="K37" s="1" t="str" cm="1">
        <f t="array" ref="K37">ToTimeCode(24,Tableau1[[#This Row],[Images]])</f>
        <v>00:00:13:11</v>
      </c>
      <c r="L37" s="1" t="str" cm="1">
        <f t="array" ref="L37">TCDuree(24,Tableau1[[#This Row],[tcin]],Tableau1[[#This Row],[tcout]])</f>
        <v>00:00:13:11</v>
      </c>
    </row>
    <row r="38" spans="1:12" x14ac:dyDescent="0.25">
      <c r="A38">
        <v>248</v>
      </c>
      <c r="B38" t="s">
        <v>192</v>
      </c>
      <c r="C38" t="s">
        <v>192</v>
      </c>
      <c r="D38" t="s">
        <v>192</v>
      </c>
      <c r="E38" t="s">
        <v>112</v>
      </c>
      <c r="F38" t="s">
        <v>113</v>
      </c>
      <c r="G38" t="s">
        <v>114</v>
      </c>
      <c r="H38" cm="1">
        <f t="array" ref="H38">FromTimeCode(24,Tableau1[[#This Row],[tcin]])</f>
        <v>986253</v>
      </c>
      <c r="I38" cm="1">
        <f t="array" ref="I38">FromTimeCode(24,Tableau1[[#This Row],[tcout]])</f>
        <v>986484</v>
      </c>
      <c r="J38">
        <f>Tableau1[[#This Row],[imgOUT]]-Tableau1[[#This Row],[imgIN]]+1</f>
        <v>232</v>
      </c>
      <c r="K38" s="1" t="str" cm="1">
        <f t="array" ref="K38">ToTimeCode(24,Tableau1[[#This Row],[Images]])</f>
        <v>00:00:09:16</v>
      </c>
      <c r="L38" s="1" t="str" cm="1">
        <f t="array" ref="L38">TCDuree(24,Tableau1[[#This Row],[tcin]],Tableau1[[#This Row],[tcout]])</f>
        <v>00:00:09:16</v>
      </c>
    </row>
    <row r="39" spans="1:12" x14ac:dyDescent="0.25">
      <c r="A39">
        <v>67</v>
      </c>
      <c r="B39" t="s">
        <v>193</v>
      </c>
      <c r="C39" t="s">
        <v>193</v>
      </c>
      <c r="D39" t="s">
        <v>193</v>
      </c>
      <c r="E39" t="s">
        <v>115</v>
      </c>
      <c r="F39" t="s">
        <v>116</v>
      </c>
      <c r="G39" t="s">
        <v>117</v>
      </c>
      <c r="H39" cm="1">
        <f t="array" ref="H39">FromTimeCode(24,Tableau1[[#This Row],[tcin]])</f>
        <v>892031</v>
      </c>
      <c r="I39" cm="1">
        <f t="array" ref="I39">FromTimeCode(24,Tableau1[[#This Row],[tcout]])</f>
        <v>892090</v>
      </c>
      <c r="J39">
        <f>Tableau1[[#This Row],[imgOUT]]-Tableau1[[#This Row],[imgIN]]+1</f>
        <v>60</v>
      </c>
      <c r="K39" s="1" t="str" cm="1">
        <f t="array" ref="K39">ToTimeCode(24,Tableau1[[#This Row],[Images]])</f>
        <v>00:00:02:12</v>
      </c>
      <c r="L39" s="1" t="str" cm="1">
        <f t="array" ref="L39">TCDuree(24,Tableau1[[#This Row],[tcin]],Tableau1[[#This Row],[tcout]])</f>
        <v>00:00:02:12</v>
      </c>
    </row>
    <row r="40" spans="1:12" x14ac:dyDescent="0.25">
      <c r="A40">
        <v>68</v>
      </c>
      <c r="B40" t="s">
        <v>194</v>
      </c>
      <c r="C40" t="s">
        <v>194</v>
      </c>
      <c r="D40" t="s">
        <v>194</v>
      </c>
      <c r="E40" t="s">
        <v>118</v>
      </c>
      <c r="F40" t="s">
        <v>119</v>
      </c>
      <c r="G40" t="s">
        <v>120</v>
      </c>
      <c r="H40" cm="1">
        <f t="array" ref="H40">FromTimeCode(24,Tableau1[[#This Row],[tcin]])</f>
        <v>892091</v>
      </c>
      <c r="I40" cm="1">
        <f t="array" ref="I40">FromTimeCode(24,Tableau1[[#This Row],[tcout]])</f>
        <v>892139</v>
      </c>
      <c r="J40">
        <f>Tableau1[[#This Row],[imgOUT]]-Tableau1[[#This Row],[imgIN]]+1</f>
        <v>49</v>
      </c>
      <c r="K40" s="1" t="str" cm="1">
        <f t="array" ref="K40">ToTimeCode(24,Tableau1[[#This Row],[Images]])</f>
        <v>00:00:02:01</v>
      </c>
      <c r="L40" s="1" t="str" cm="1">
        <f t="array" ref="L40">TCDuree(24,Tableau1[[#This Row],[tcin]],Tableau1[[#This Row],[tcout]])</f>
        <v>00:00:02:01</v>
      </c>
    </row>
    <row r="41" spans="1:12" x14ac:dyDescent="0.25">
      <c r="A41">
        <v>69</v>
      </c>
      <c r="B41" t="s">
        <v>195</v>
      </c>
      <c r="C41" t="s">
        <v>195</v>
      </c>
      <c r="D41" t="s">
        <v>195</v>
      </c>
      <c r="E41" t="s">
        <v>121</v>
      </c>
      <c r="F41" t="s">
        <v>122</v>
      </c>
      <c r="G41" t="s">
        <v>123</v>
      </c>
      <c r="H41" cm="1">
        <f t="array" ref="H41">FromTimeCode(24,Tableau1[[#This Row],[tcin]])</f>
        <v>892140</v>
      </c>
      <c r="I41" cm="1">
        <f t="array" ref="I41">FromTimeCode(24,Tableau1[[#This Row],[tcout]])</f>
        <v>892210</v>
      </c>
      <c r="J41">
        <f>Tableau1[[#This Row],[imgOUT]]-Tableau1[[#This Row],[imgIN]]+1</f>
        <v>71</v>
      </c>
      <c r="K41" s="1" t="str" cm="1">
        <f t="array" ref="K41">ToTimeCode(24,Tableau1[[#This Row],[Images]])</f>
        <v>00:00:02:23</v>
      </c>
      <c r="L41" s="1" t="str" cm="1">
        <f t="array" ref="L41">TCDuree(24,Tableau1[[#This Row],[tcin]],Tableau1[[#This Row],[tcout]])</f>
        <v>00:00:02:23</v>
      </c>
    </row>
    <row r="42" spans="1:12" x14ac:dyDescent="0.25">
      <c r="A42">
        <v>7</v>
      </c>
      <c r="B42" t="s">
        <v>196</v>
      </c>
      <c r="C42" t="s">
        <v>196</v>
      </c>
      <c r="D42" t="s">
        <v>196</v>
      </c>
      <c r="E42" t="s">
        <v>124</v>
      </c>
      <c r="F42" t="s">
        <v>125</v>
      </c>
      <c r="G42" t="s">
        <v>126</v>
      </c>
      <c r="H42" cm="1">
        <f t="array" ref="H42">FromTimeCode(24,Tableau1[[#This Row],[tcin]])</f>
        <v>867075</v>
      </c>
      <c r="I42" cm="1">
        <f t="array" ref="I42">FromTimeCode(24,Tableau1[[#This Row],[tcout]])</f>
        <v>867132</v>
      </c>
      <c r="J42">
        <f>Tableau1[[#This Row],[imgOUT]]-Tableau1[[#This Row],[imgIN]]+1</f>
        <v>58</v>
      </c>
      <c r="K42" s="1" t="str" cm="1">
        <f t="array" ref="K42">ToTimeCode(24,Tableau1[[#This Row],[Images]])</f>
        <v>00:00:02:10</v>
      </c>
      <c r="L42" s="1" t="str" cm="1">
        <f t="array" ref="L42">TCDuree(24,Tableau1[[#This Row],[tcin]],Tableau1[[#This Row],[tcout]])</f>
        <v>00:00:02:10</v>
      </c>
    </row>
    <row r="43" spans="1:12" x14ac:dyDescent="0.25">
      <c r="A43">
        <v>8</v>
      </c>
      <c r="B43" t="s">
        <v>197</v>
      </c>
      <c r="C43" t="s">
        <v>197</v>
      </c>
      <c r="D43" t="s">
        <v>197</v>
      </c>
      <c r="E43" t="s">
        <v>127</v>
      </c>
      <c r="F43" t="s">
        <v>128</v>
      </c>
      <c r="G43" t="s">
        <v>18</v>
      </c>
      <c r="H43" cm="1">
        <f t="array" ref="H43">FromTimeCode(24,Tableau1[[#This Row],[tcin]])</f>
        <v>867133</v>
      </c>
      <c r="I43" cm="1">
        <f t="array" ref="I43">FromTimeCode(24,Tableau1[[#This Row],[tcout]])</f>
        <v>867262</v>
      </c>
      <c r="J43">
        <f>Tableau1[[#This Row],[imgOUT]]-Tableau1[[#This Row],[imgIN]]+1</f>
        <v>130</v>
      </c>
      <c r="K43" s="1" t="str" cm="1">
        <f t="array" ref="K43">ToTimeCode(24,Tableau1[[#This Row],[Images]])</f>
        <v>00:00:05:10</v>
      </c>
      <c r="L43" s="1" t="str" cm="1">
        <f t="array" ref="L43">TCDuree(24,Tableau1[[#This Row],[tcin]],Tableau1[[#This Row],[tcout]])</f>
        <v>00:00:05:10</v>
      </c>
    </row>
    <row r="44" spans="1:12" x14ac:dyDescent="0.25">
      <c r="A44">
        <v>81</v>
      </c>
      <c r="B44" t="s">
        <v>198</v>
      </c>
      <c r="C44" t="s">
        <v>198</v>
      </c>
      <c r="D44" t="s">
        <v>198</v>
      </c>
      <c r="E44" t="s">
        <v>129</v>
      </c>
      <c r="F44" t="s">
        <v>130</v>
      </c>
      <c r="G44" t="s">
        <v>131</v>
      </c>
      <c r="H44" cm="1">
        <f t="array" ref="H44">FromTimeCode(24,Tableau1[[#This Row],[tcin]])</f>
        <v>898321</v>
      </c>
      <c r="I44" cm="1">
        <f t="array" ref="I44">FromTimeCode(24,Tableau1[[#This Row],[tcout]])</f>
        <v>898602</v>
      </c>
      <c r="J44">
        <f>Tableau1[[#This Row],[imgOUT]]-Tableau1[[#This Row],[imgIN]]+1</f>
        <v>282</v>
      </c>
      <c r="K44" s="1" t="str" cm="1">
        <f t="array" ref="K44">ToTimeCode(24,Tableau1[[#This Row],[Images]])</f>
        <v>00:00:11:18</v>
      </c>
      <c r="L44" s="1" t="str" cm="1">
        <f t="array" ref="L44">TCDuree(24,Tableau1[[#This Row],[tcin]],Tableau1[[#This Row],[tcout]])</f>
        <v>00:00:11:18</v>
      </c>
    </row>
    <row r="45" spans="1:12" x14ac:dyDescent="0.25">
      <c r="A45">
        <v>119</v>
      </c>
      <c r="B45" t="s">
        <v>199</v>
      </c>
      <c r="C45" t="s">
        <v>199</v>
      </c>
      <c r="D45" t="s">
        <v>199</v>
      </c>
      <c r="E45" t="s">
        <v>132</v>
      </c>
      <c r="F45" t="s">
        <v>133</v>
      </c>
      <c r="G45" t="s">
        <v>134</v>
      </c>
      <c r="H45" cm="1">
        <f t="array" ref="H45">FromTimeCode(24,Tableau1[[#This Row],[tcin]])</f>
        <v>914320</v>
      </c>
      <c r="I45" cm="1">
        <f t="array" ref="I45">FromTimeCode(24,Tableau1[[#This Row],[tcout]])</f>
        <v>914646</v>
      </c>
      <c r="J45">
        <f>Tableau1[[#This Row],[imgOUT]]-Tableau1[[#This Row],[imgIN]]+1</f>
        <v>327</v>
      </c>
      <c r="K45" s="1" t="str" cm="1">
        <f t="array" ref="K45">ToTimeCode(24,Tableau1[[#This Row],[Images]])</f>
        <v>00:00:13:15</v>
      </c>
      <c r="L45" s="1" t="str" cm="1">
        <f t="array" ref="L45">TCDuree(24,Tableau1[[#This Row],[tcin]],Tableau1[[#This Row],[tcout]])</f>
        <v>00:00:13:15</v>
      </c>
    </row>
    <row r="46" spans="1:12" x14ac:dyDescent="0.25">
      <c r="A46">
        <v>198</v>
      </c>
      <c r="B46" t="s">
        <v>200</v>
      </c>
      <c r="C46" t="s">
        <v>200</v>
      </c>
      <c r="D46" t="s">
        <v>200</v>
      </c>
      <c r="E46" t="s">
        <v>135</v>
      </c>
      <c r="F46" t="s">
        <v>136</v>
      </c>
      <c r="G46" t="s">
        <v>137</v>
      </c>
      <c r="H46" cm="1">
        <f t="array" ref="H46">FromTimeCode(24,Tableau1[[#This Row],[tcin]])</f>
        <v>934818</v>
      </c>
      <c r="I46" cm="1">
        <f t="array" ref="I46">FromTimeCode(24,Tableau1[[#This Row],[tcout]])</f>
        <v>935034</v>
      </c>
      <c r="J46">
        <f>Tableau1[[#This Row],[imgOUT]]-Tableau1[[#This Row],[imgIN]]+1</f>
        <v>217</v>
      </c>
      <c r="K46" s="1" t="str" cm="1">
        <f t="array" ref="K46">ToTimeCode(24,Tableau1[[#This Row],[Images]])</f>
        <v>00:00:09:01</v>
      </c>
      <c r="L46" s="1" t="str" cm="1">
        <f t="array" ref="L46">TCDuree(24,Tableau1[[#This Row],[tcin]],Tableau1[[#This Row],[tcout]])</f>
        <v>00:00:09:01</v>
      </c>
    </row>
    <row r="47" spans="1:12" x14ac:dyDescent="0.25">
      <c r="A47">
        <v>199</v>
      </c>
      <c r="B47" t="s">
        <v>201</v>
      </c>
      <c r="C47" t="s">
        <v>201</v>
      </c>
      <c r="D47" t="s">
        <v>201</v>
      </c>
      <c r="E47" t="s">
        <v>138</v>
      </c>
      <c r="F47" t="s">
        <v>139</v>
      </c>
      <c r="G47" t="s">
        <v>140</v>
      </c>
      <c r="H47" cm="1">
        <f t="array" ref="H47">FromTimeCode(24,Tableau1[[#This Row],[tcin]])</f>
        <v>935035</v>
      </c>
      <c r="I47" cm="1">
        <f t="array" ref="I47">FromTimeCode(24,Tableau1[[#This Row],[tcout]])</f>
        <v>935304</v>
      </c>
      <c r="J47">
        <f>Tableau1[[#This Row],[imgOUT]]-Tableau1[[#This Row],[imgIN]]+1</f>
        <v>270</v>
      </c>
      <c r="K47" s="1" t="str" cm="1">
        <f t="array" ref="K47">ToTimeCode(24,Tableau1[[#This Row],[Images]])</f>
        <v>00:00:11:06</v>
      </c>
      <c r="L47" s="1" t="str" cm="1">
        <f t="array" ref="L47">TCDuree(24,Tableau1[[#This Row],[tcin]],Tableau1[[#This Row],[tcout]])</f>
        <v>00:00:11:06</v>
      </c>
    </row>
    <row r="48" spans="1:12" x14ac:dyDescent="0.25">
      <c r="A48">
        <v>240</v>
      </c>
      <c r="B48" t="s">
        <v>202</v>
      </c>
      <c r="C48" t="s">
        <v>202</v>
      </c>
      <c r="D48" t="s">
        <v>202</v>
      </c>
      <c r="E48" t="s">
        <v>141</v>
      </c>
      <c r="F48" t="s">
        <v>142</v>
      </c>
      <c r="G48" t="s">
        <v>143</v>
      </c>
      <c r="H48" cm="1">
        <f t="array" ref="H48">FromTimeCode(24,Tableau1[[#This Row],[tcin]])</f>
        <v>973273</v>
      </c>
      <c r="I48" cm="1">
        <f t="array" ref="I48">FromTimeCode(24,Tableau1[[#This Row],[tcout]])</f>
        <v>974068</v>
      </c>
      <c r="J48">
        <f>Tableau1[[#This Row],[imgOUT]]-Tableau1[[#This Row],[imgIN]]+1</f>
        <v>796</v>
      </c>
      <c r="K48" s="1" t="str" cm="1">
        <f t="array" ref="K48">ToTimeCode(24,Tableau1[[#This Row],[Images]])</f>
        <v>00:00:33:04</v>
      </c>
      <c r="L48" s="1" t="str" cm="1">
        <f t="array" ref="L48">TCDuree(24,Tableau1[[#This Row],[tcin]],Tableau1[[#This Row],[tcout]])</f>
        <v>00:00:33:04</v>
      </c>
    </row>
    <row r="49" spans="1:12" x14ac:dyDescent="0.25">
      <c r="A49">
        <v>254</v>
      </c>
      <c r="B49" t="s">
        <v>203</v>
      </c>
      <c r="C49" t="s">
        <v>203</v>
      </c>
      <c r="D49" t="s">
        <v>203</v>
      </c>
      <c r="E49" t="s">
        <v>144</v>
      </c>
      <c r="F49" t="s">
        <v>145</v>
      </c>
      <c r="G49" t="s">
        <v>146</v>
      </c>
      <c r="H49" cm="1">
        <f t="array" ref="H49">FromTimeCode(24,Tableau1[[#This Row],[tcin]])</f>
        <v>1002119</v>
      </c>
      <c r="I49" cm="1">
        <f t="array" ref="I49">FromTimeCode(24,Tableau1[[#This Row],[tcout]])</f>
        <v>1002480</v>
      </c>
      <c r="J49">
        <f>Tableau1[[#This Row],[imgOUT]]-Tableau1[[#This Row],[imgIN]]+1</f>
        <v>362</v>
      </c>
      <c r="K49" s="1" t="str" cm="1">
        <f t="array" ref="K49">ToTimeCode(24,Tableau1[[#This Row],[Images]])</f>
        <v>00:00:15:02</v>
      </c>
      <c r="L49" s="1" t="str" cm="1">
        <f t="array" ref="L49">TCDuree(24,Tableau1[[#This Row],[tcin]],Tableau1[[#This Row],[tcout]])</f>
        <v>00:00:15:02</v>
      </c>
    </row>
    <row r="50" spans="1:12" x14ac:dyDescent="0.25">
      <c r="H50" s="1"/>
      <c r="I50" s="1"/>
      <c r="J50" s="1">
        <f>SUBTOTAL(109,Tableau1[Images])</f>
        <v>8824</v>
      </c>
      <c r="K50" s="1" t="str" cm="1">
        <f t="array" ref="K50">ToTimeCode(24,Tableau1[[#Totals],[Images]])</f>
        <v>00:06:07:16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E313-BB64-4857-B5DB-4A907B45E6BC}">
  <sheetPr codeName="Feuil2"/>
  <dimension ref="A1:C2"/>
  <sheetViews>
    <sheetView workbookViewId="0">
      <selection activeCell="C2" sqref="C2"/>
    </sheetView>
  </sheetViews>
  <sheetFormatPr baseColWidth="10" defaultRowHeight="15" x14ac:dyDescent="0.25"/>
  <sheetData>
    <row r="1" spans="1:3" x14ac:dyDescent="0.25">
      <c r="A1" t="s">
        <v>152</v>
      </c>
      <c r="B1" t="s">
        <v>153</v>
      </c>
      <c r="C1" t="s">
        <v>150</v>
      </c>
    </row>
    <row r="2" spans="1:3" x14ac:dyDescent="0.25">
      <c r="A2" t="s">
        <v>154</v>
      </c>
      <c r="B2" t="s">
        <v>155</v>
      </c>
      <c r="C2" t="str" cm="1">
        <f t="array" ref="C2">TCDuree(24,A2,B2)</f>
        <v>00:52:01:10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Lepretre</dc:creator>
  <cp:lastModifiedBy>Didier Lepretre</cp:lastModifiedBy>
  <dcterms:created xsi:type="dcterms:W3CDTF">2020-12-13T16:20:32Z</dcterms:created>
  <dcterms:modified xsi:type="dcterms:W3CDTF">2020-12-14T10:07:46Z</dcterms:modified>
</cp:coreProperties>
</file>