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levraultgroup-my.sharepoint.com/personal/didier_lepretre_berger-levrault_com/Documents/Personnel/Excel/"/>
    </mc:Choice>
  </mc:AlternateContent>
  <xr:revisionPtr revIDLastSave="25" documentId="8_{6F0CCFF2-D73F-4CAB-87B9-28949855DCFE}" xr6:coauthVersionLast="47" xr6:coauthVersionMax="47" xr10:uidLastSave="{F167DC70-1FD0-44CC-83DF-B38E40075EA9}"/>
  <bookViews>
    <workbookView xWindow="38280" yWindow="-120" windowWidth="38640" windowHeight="21390" xr2:uid="{5A95223A-4FAB-4D89-B07F-E023C50C0B1D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0" i="1" a="1"/>
  <c r="F30" i="1" s="1"/>
  <c r="F31" i="1" a="1"/>
  <c r="F31" i="1" s="1"/>
  <c r="F32" i="1" a="1"/>
  <c r="F32" i="1" s="1"/>
  <c r="F33" i="1" a="1"/>
  <c r="F33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F39" i="1" a="1"/>
  <c r="F39" i="1" s="1"/>
  <c r="F40" i="1" a="1"/>
  <c r="F40" i="1" s="1"/>
  <c r="F41" i="1" a="1"/>
  <c r="F41" i="1" s="1"/>
  <c r="F42" i="1" a="1"/>
  <c r="F42" i="1" s="1"/>
  <c r="F43" i="1" a="1"/>
  <c r="F43" i="1" s="1"/>
  <c r="F44" i="1" a="1"/>
  <c r="F44" i="1" s="1"/>
  <c r="F45" i="1" a="1"/>
  <c r="F45" i="1" s="1"/>
  <c r="F46" i="1" a="1"/>
  <c r="F46" i="1" s="1"/>
  <c r="F47" i="1" a="1"/>
  <c r="F47" i="1" s="1"/>
  <c r="F48" i="1" a="1"/>
  <c r="F48" i="1" s="1"/>
  <c r="F49" i="1" a="1"/>
  <c r="F49" i="1" s="1"/>
  <c r="F50" i="1" a="1"/>
  <c r="F50" i="1" s="1"/>
  <c r="E6" i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12" i="1" a="1"/>
  <c r="E12" i="1" s="1"/>
  <c r="E13" i="1" a="1"/>
  <c r="E13" i="1" s="1"/>
  <c r="E14" i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28" i="1" a="1"/>
  <c r="E28" i="1" s="1"/>
  <c r="E29" i="1" a="1"/>
  <c r="E29" i="1" s="1"/>
  <c r="E30" i="1" a="1"/>
  <c r="E30" i="1" s="1"/>
  <c r="E31" i="1" a="1"/>
  <c r="E31" i="1" s="1"/>
  <c r="E32" i="1" a="1"/>
  <c r="E32" i="1" s="1"/>
  <c r="E33" i="1" a="1"/>
  <c r="E33" i="1" s="1"/>
  <c r="E34" i="1" a="1"/>
  <c r="E34" i="1" s="1"/>
  <c r="E35" i="1" a="1"/>
  <c r="E35" i="1" s="1"/>
  <c r="E36" i="1" a="1"/>
  <c r="E36" i="1" s="1"/>
  <c r="E37" i="1" a="1"/>
  <c r="E37" i="1" s="1"/>
  <c r="E38" i="1" a="1"/>
  <c r="E38" i="1" s="1"/>
  <c r="E39" i="1" a="1"/>
  <c r="E39" i="1" s="1"/>
  <c r="E40" i="1" a="1"/>
  <c r="E40" i="1" s="1"/>
  <c r="E41" i="1" a="1"/>
  <c r="E41" i="1" s="1"/>
  <c r="E42" i="1" a="1"/>
  <c r="E42" i="1" s="1"/>
  <c r="E43" i="1" a="1"/>
  <c r="E43" i="1" s="1"/>
  <c r="E44" i="1" a="1"/>
  <c r="E44" i="1" s="1"/>
  <c r="E45" i="1" a="1"/>
  <c r="E45" i="1" s="1"/>
  <c r="E46" i="1" a="1"/>
  <c r="E46" i="1" s="1"/>
  <c r="E47" i="1" a="1"/>
  <c r="E47" i="1" s="1"/>
  <c r="E48" i="1" a="1"/>
  <c r="E48" i="1" s="1"/>
  <c r="E49" i="1" a="1"/>
  <c r="E49" i="1" s="1"/>
  <c r="E50" i="1" a="1"/>
  <c r="E50" i="1" s="1"/>
  <c r="F4" i="1" a="1"/>
  <c r="E3" i="1" a="1"/>
  <c r="E4" i="1" a="1"/>
  <c r="E5" i="1" a="1"/>
  <c r="F5" i="1" a="1"/>
  <c r="F3" i="1" a="1"/>
  <c r="F5" i="1" l="1"/>
  <c r="G5" i="1" s="1"/>
  <c r="E5" i="1"/>
  <c r="F4" i="1"/>
  <c r="F3" i="1"/>
  <c r="E4" i="1"/>
  <c r="E3" i="1"/>
  <c r="H5" i="1" a="1"/>
  <c r="H5" i="1" l="1"/>
  <c r="G3" i="1"/>
  <c r="G4" i="1"/>
  <c r="G51" i="1"/>
  <c r="H3" i="1" a="1"/>
  <c r="H4" i="1" a="1"/>
  <c r="H51" i="1" a="1"/>
  <c r="H4" i="1" l="1"/>
  <c r="H3" i="1"/>
  <c r="H5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<sst xmlns="http://schemas.openxmlformats.org/spreadsheetml/2006/main" count="22" uniqueCount="21">
  <si>
    <t>no</t>
  </si>
  <si>
    <t>tcin</t>
  </si>
  <si>
    <t>tcout</t>
  </si>
  <si>
    <t>imgIN</t>
  </si>
  <si>
    <t>imgOUT</t>
  </si>
  <si>
    <t>Images</t>
  </si>
  <si>
    <t>Diff</t>
  </si>
  <si>
    <t>Référence vidéo</t>
  </si>
  <si>
    <t>Vidéo 1</t>
  </si>
  <si>
    <t>00:05:12:01</t>
  </si>
  <si>
    <t>00:05:12:24</t>
  </si>
  <si>
    <t>00:03:15:07</t>
  </si>
  <si>
    <t>00:03:17:15</t>
  </si>
  <si>
    <t>Vidéo 2</t>
  </si>
  <si>
    <t>Vidéo 3</t>
  </si>
  <si>
    <t>00:07:52:10</t>
  </si>
  <si>
    <t>00:08:17:17</t>
  </si>
  <si>
    <t>TOTAL</t>
  </si>
  <si>
    <t>hh:mm:ss:img</t>
  </si>
  <si>
    <t>numéro d'ordre</t>
  </si>
  <si>
    <t>nom de la vidéo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</si>
</sst>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0" fontId="0" fillId="3" borderId="0" xfId="0" applyNumberFormat="1" applyFill="1" applyAlignment="1">
      <alignment horizontal="center" vertical="center"/>
    </xf>
    <xf numFmtId="0" fontId="2" fillId="4" borderId="0" xfId="0" applyFont="1" applyFill="1"/>
    <xf numFmtId="0" fontId="2" fillId="4" borderId="0" xfId="0" applyFont="1" applyFill="1" applyAlignment="1">
      <alignment horizontal="center" vertical="center"/>
    </xf>
  </cellXfs>
  <cellStyles count="1">
    <cellStyle name="Normal" xfId="0" builtinId="0"/>
  </cellStyles>
  <dxfs count="15"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455436-C3B6-4BEE-9CAD-FA54E144789D}" name="Tableau1" displayName="Tableau1" ref="A2:H51" totalsRowCount="1">
  <autoFilter ref="A2:H50" xr:uid="{BC455436-C3B6-4BEE-9CAD-FA54E144789D}"/>
  <tableColumns count="8">
    <tableColumn id="1" xr3:uid="{55F926C0-7E06-4948-9587-5A0D184BF951}" name="no" dataDxfId="1" totalsRowDxfId="0"/>
    <tableColumn id="4" xr3:uid="{757C27A9-6A36-4862-930B-D301774BFE02}" name="Référence vidéo" dataDxfId="14"/>
    <tableColumn id="5" xr3:uid="{D39632B5-C993-465C-A2CE-9F7041D5B639}" name="tcin" dataDxfId="13" totalsRowDxfId="12"/>
    <tableColumn id="6" xr3:uid="{67597DD9-6112-45BF-933F-4D6153364385}" name="tcout" dataDxfId="11" totalsRowDxfId="10"/>
    <tableColumn id="8" xr3:uid="{D39485E3-92B8-4C86-911E-6790F70AE6F6}" name="imgIN" dataDxfId="9" totalsRowDxfId="8">
      <calculatedColumnFormula array="1">IF(AND(Tableau1[[#This Row],[tcin]]="",Tableau1[[#This Row],[tcout]]=""),"",FromTimeCode(24,Tableau1[[#This Row],[tcin]]))</calculatedColumnFormula>
    </tableColumn>
    <tableColumn id="9" xr3:uid="{38D5474C-B47B-47D1-A8CF-02C03B7E9111}" name="imgOUT" totalsRowLabel="TOTAL" dataDxfId="7" totalsRowDxfId="6">
      <calculatedColumnFormula array="1">IF(AND(Tableau1[[#This Row],[tcin]]="",Tableau1[[#This Row],[tcout]]=""),"",FromTimeCode(24,Tableau1[[#This Row],[tcout]]))</calculatedColumnFormula>
    </tableColumn>
    <tableColumn id="10" xr3:uid="{301F03D0-7B47-450A-8E3A-19692511411C}" name="Images" totalsRowFunction="sum" dataDxfId="5" totalsRowDxfId="4">
      <calculatedColumnFormula>IF(AND(Tableau1[[#This Row],[tcout]]="",Tableau1[[#This Row],[tcin]]=""),"",Tableau1[[#This Row],[imgOUT]]-Tableau1[[#This Row],[imgIN]]+1)</calculatedColumnFormula>
    </tableColumn>
    <tableColumn id="11" xr3:uid="{DFF91DBE-B5FD-47EF-983A-5F52A43413DA}" name="Diff" totalsRowFunction="custom" dataDxfId="3" totalsRowDxfId="2">
      <calculatedColumnFormula array="1">IF(AND(Tableau1[[#This Row],[tcin]]="",Tableau1[[#This Row],[tcout]]=""),"",ToTimeCode(24,Tableau1[[#This Row],[Images]]))</calculatedColumnFormula>
      <totalsRowFormula array="1">ToTimeCode(24,Tableau1[[#Totals],[Images]])</totalsRow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EB28-9382-43A5-811E-3E1CC55B01BF}">
  <sheetPr codeName="Feuil1"/>
  <dimension ref="A1:H51"/>
  <sheetViews>
    <sheetView tabSelected="1" workbookViewId="0">
      <selection sqref="A1:A1048576"/>
    </sheetView>
  </sheetViews>
  <sheetFormatPr baseColWidth="10" defaultRowHeight="15" x14ac:dyDescent="0.25"/>
  <cols>
    <col min="1" max="1" width="13" style="1" bestFit="1" customWidth="1"/>
    <col min="2" max="2" width="81.5703125" bestFit="1" customWidth="1"/>
    <col min="3" max="8" width="16" style="1" customWidth="1"/>
  </cols>
  <sheetData>
    <row r="1" spans="1:8" x14ac:dyDescent="0.25">
      <c r="A1" s="9" t="s">
        <v>19</v>
      </c>
      <c r="B1" s="8" t="s">
        <v>20</v>
      </c>
      <c r="C1" s="9" t="s">
        <v>18</v>
      </c>
      <c r="D1" s="9" t="s">
        <v>18</v>
      </c>
    </row>
    <row r="2" spans="1:8" x14ac:dyDescent="0.25">
      <c r="A2" s="1" t="s">
        <v>0</v>
      </c>
      <c r="B2" t="s">
        <v>7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</row>
    <row r="3" spans="1:8" x14ac:dyDescent="0.25">
      <c r="A3" s="6">
        <v>1</v>
      </c>
      <c r="B3" s="5" t="s">
        <v>8</v>
      </c>
      <c r="C3" s="6" t="s">
        <v>9</v>
      </c>
      <c r="D3" s="6" t="s">
        <v>10</v>
      </c>
      <c r="E3" s="2" cm="1">
        <f t="array" ref="E3">IF(AND(Tableau1[[#This Row],[tcin]]="",Tableau1[[#This Row],[tcout]]=""),"",FromTimeCode(24,Tableau1[[#This Row],[tcin]]))</f>
        <v>7489</v>
      </c>
      <c r="F3" s="2" cm="1">
        <f t="array" ref="F3">IF(AND(Tableau1[[#This Row],[tcin]]="",Tableau1[[#This Row],[tcout]]=""),"",FromTimeCode(24,Tableau1[[#This Row],[tcout]]))</f>
        <v>7512</v>
      </c>
      <c r="G3" s="2">
        <f>IF(AND(Tableau1[[#This Row],[tcout]]="",Tableau1[[#This Row],[tcin]]=""),"",Tableau1[[#This Row],[imgOUT]]-Tableau1[[#This Row],[imgIN]]+1)</f>
        <v>24</v>
      </c>
      <c r="H3" s="3" t="str" cm="1">
        <f t="array" ref="H3">IF(AND(Tableau1[[#This Row],[tcin]]="",Tableau1[[#This Row],[tcout]]=""),"",ToTimeCode(24,Tableau1[[#This Row],[Images]]))</f>
        <v>00:00:01:00</v>
      </c>
    </row>
    <row r="4" spans="1:8" x14ac:dyDescent="0.25">
      <c r="A4" s="6">
        <v>2</v>
      </c>
      <c r="B4" s="5" t="s">
        <v>13</v>
      </c>
      <c r="C4" s="6" t="s">
        <v>11</v>
      </c>
      <c r="D4" s="6" t="s">
        <v>12</v>
      </c>
      <c r="E4" s="2" cm="1">
        <f t="array" ref="E4">IF(AND(Tableau1[[#This Row],[tcin]]="",Tableau1[[#This Row],[tcout]]=""),"",FromTimeCode(24,Tableau1[[#This Row],[tcin]]))</f>
        <v>4687</v>
      </c>
      <c r="F4" s="2" cm="1">
        <f t="array" ref="F4">IF(AND(Tableau1[[#This Row],[tcin]]="",Tableau1[[#This Row],[tcout]]=""),"",FromTimeCode(24,Tableau1[[#This Row],[tcout]]))</f>
        <v>4743</v>
      </c>
      <c r="G4" s="2">
        <f>IF(AND(Tableau1[[#This Row],[tcout]]="",Tableau1[[#This Row],[tcin]]=""),"",Tableau1[[#This Row],[imgOUT]]-Tableau1[[#This Row],[imgIN]]+1)</f>
        <v>57</v>
      </c>
      <c r="H4" s="3" t="str" cm="1">
        <f t="array" ref="H4">IF(AND(Tableau1[[#This Row],[tcin]]="",Tableau1[[#This Row],[tcout]]=""),"",ToTimeCode(24,Tableau1[[#This Row],[Images]]))</f>
        <v>00:00:02:09</v>
      </c>
    </row>
    <row r="5" spans="1:8" x14ac:dyDescent="0.25">
      <c r="A5" s="6">
        <v>3</v>
      </c>
      <c r="B5" s="5" t="s">
        <v>14</v>
      </c>
      <c r="C5" s="6" t="s">
        <v>15</v>
      </c>
      <c r="D5" s="6" t="s">
        <v>16</v>
      </c>
      <c r="E5" s="2" cm="1">
        <f t="array" ref="E5">IF(AND(Tableau1[[#This Row],[tcin]]="",Tableau1[[#This Row],[tcout]]=""),"",FromTimeCode(24,Tableau1[[#This Row],[tcin]]))</f>
        <v>11338</v>
      </c>
      <c r="F5" s="2" cm="1">
        <f t="array" ref="F5">IF(AND(Tableau1[[#This Row],[tcin]]="",Tableau1[[#This Row],[tcout]]=""),"",FromTimeCode(24,Tableau1[[#This Row],[tcout]]))</f>
        <v>11945</v>
      </c>
      <c r="G5" s="2">
        <f>IF(AND(Tableau1[[#This Row],[tcout]]="",Tableau1[[#This Row],[tcin]]=""),"",Tableau1[[#This Row],[imgOUT]]-Tableau1[[#This Row],[imgIN]]+1)</f>
        <v>608</v>
      </c>
      <c r="H5" s="3" t="str" cm="1">
        <f t="array" ref="H5">IF(AND(Tableau1[[#This Row],[tcin]]="",Tableau1[[#This Row],[tcout]]=""),"",ToTimeCode(24,Tableau1[[#This Row],[Images]]))</f>
        <v>00:00:25:08</v>
      </c>
    </row>
    <row r="6" spans="1:8" x14ac:dyDescent="0.25">
      <c r="A6" s="6"/>
      <c r="B6" s="5"/>
      <c r="C6" s="6"/>
      <c r="D6" s="6"/>
      <c r="E6" s="2" t="str" cm="1">
        <f t="array" ref="E6">IF(AND(Tableau1[[#This Row],[tcin]]="",Tableau1[[#This Row],[tcout]]=""),"",FromTimeCode(24,Tableau1[[#This Row],[tcin]]))</f>
        <v/>
      </c>
      <c r="F6" s="2" t="str" cm="1">
        <f t="array" ref="F6">IF(AND(Tableau1[[#This Row],[tcin]]="",Tableau1[[#This Row],[tcout]]=""),"",FromTimeCode(24,Tableau1[[#This Row],[tcout]]))</f>
        <v/>
      </c>
      <c r="G6" s="2" t="str">
        <f>IF(AND(Tableau1[[#This Row],[tcout]]="",Tableau1[[#This Row],[tcin]]=""),"",Tableau1[[#This Row],[imgOUT]]-Tableau1[[#This Row],[imgIN]]+1)</f>
        <v/>
      </c>
      <c r="H6" s="3" t="str" cm="1">
        <f t="array" ref="H6">IF(AND(Tableau1[[#This Row],[tcin]]="",Tableau1[[#This Row],[tcout]]=""),"",ToTimeCode(24,Tableau1[[#This Row],[Images]]))</f>
        <v/>
      </c>
    </row>
    <row r="7" spans="1:8" x14ac:dyDescent="0.25">
      <c r="A7" s="6"/>
      <c r="B7" s="5"/>
      <c r="C7" s="6"/>
      <c r="D7" s="6"/>
      <c r="E7" s="2" t="str" cm="1">
        <f t="array" ref="E7">IF(AND(Tableau1[[#This Row],[tcin]]="",Tableau1[[#This Row],[tcout]]=""),"",FromTimeCode(24,Tableau1[[#This Row],[tcin]]))</f>
        <v/>
      </c>
      <c r="F7" s="2" t="str" cm="1">
        <f t="array" ref="F7">IF(AND(Tableau1[[#This Row],[tcin]]="",Tableau1[[#This Row],[tcout]]=""),"",FromTimeCode(24,Tableau1[[#This Row],[tcout]]))</f>
        <v/>
      </c>
      <c r="G7" s="2" t="str">
        <f>IF(AND(Tableau1[[#This Row],[tcout]]="",Tableau1[[#This Row],[tcin]]=""),"",Tableau1[[#This Row],[imgOUT]]-Tableau1[[#This Row],[imgIN]]+1)</f>
        <v/>
      </c>
      <c r="H7" s="3" t="str" cm="1">
        <f t="array" ref="H7">IF(AND(Tableau1[[#This Row],[tcin]]="",Tableau1[[#This Row],[tcout]]=""),"",ToTimeCode(24,Tableau1[[#This Row],[Images]]))</f>
        <v/>
      </c>
    </row>
    <row r="8" spans="1:8" x14ac:dyDescent="0.25">
      <c r="A8" s="6"/>
      <c r="B8" s="5"/>
      <c r="C8" s="6"/>
      <c r="D8" s="6"/>
      <c r="E8" s="2" t="str" cm="1">
        <f t="array" ref="E8">IF(AND(Tableau1[[#This Row],[tcin]]="",Tableau1[[#This Row],[tcout]]=""),"",FromTimeCode(24,Tableau1[[#This Row],[tcin]]))</f>
        <v/>
      </c>
      <c r="F8" s="2" t="str" cm="1">
        <f t="array" ref="F8">IF(AND(Tableau1[[#This Row],[tcin]]="",Tableau1[[#This Row],[tcout]]=""),"",FromTimeCode(24,Tableau1[[#This Row],[tcout]]))</f>
        <v/>
      </c>
      <c r="G8" s="2" t="str">
        <f>IF(AND(Tableau1[[#This Row],[tcout]]="",Tableau1[[#This Row],[tcin]]=""),"",Tableau1[[#This Row],[imgOUT]]-Tableau1[[#This Row],[imgIN]]+1)</f>
        <v/>
      </c>
      <c r="H8" s="3" t="str" cm="1">
        <f t="array" ref="H8">IF(AND(Tableau1[[#This Row],[tcin]]="",Tableau1[[#This Row],[tcout]]=""),"",ToTimeCode(24,Tableau1[[#This Row],[Images]]))</f>
        <v/>
      </c>
    </row>
    <row r="9" spans="1:8" x14ac:dyDescent="0.25">
      <c r="A9" s="6"/>
      <c r="B9" s="5"/>
      <c r="C9" s="6"/>
      <c r="D9" s="6"/>
      <c r="E9" s="2" t="str" cm="1">
        <f t="array" ref="E9">IF(AND(Tableau1[[#This Row],[tcin]]="",Tableau1[[#This Row],[tcout]]=""),"",FromTimeCode(24,Tableau1[[#This Row],[tcin]]))</f>
        <v/>
      </c>
      <c r="F9" s="2" t="str" cm="1">
        <f t="array" ref="F9">IF(AND(Tableau1[[#This Row],[tcin]]="",Tableau1[[#This Row],[tcout]]=""),"",FromTimeCode(24,Tableau1[[#This Row],[tcout]]))</f>
        <v/>
      </c>
      <c r="G9" s="2" t="str">
        <f>IF(AND(Tableau1[[#This Row],[tcout]]="",Tableau1[[#This Row],[tcin]]=""),"",Tableau1[[#This Row],[imgOUT]]-Tableau1[[#This Row],[imgIN]]+1)</f>
        <v/>
      </c>
      <c r="H9" s="3" t="str" cm="1">
        <f t="array" ref="H9">IF(AND(Tableau1[[#This Row],[tcin]]="",Tableau1[[#This Row],[tcout]]=""),"",ToTimeCode(24,Tableau1[[#This Row],[Images]]))</f>
        <v/>
      </c>
    </row>
    <row r="10" spans="1:8" x14ac:dyDescent="0.25">
      <c r="A10" s="6"/>
      <c r="B10" s="5"/>
      <c r="C10" s="6"/>
      <c r="D10" s="6"/>
      <c r="E10" s="2" t="str" cm="1">
        <f t="array" ref="E10">IF(AND(Tableau1[[#This Row],[tcin]]="",Tableau1[[#This Row],[tcout]]=""),"",FromTimeCode(24,Tableau1[[#This Row],[tcin]]))</f>
        <v/>
      </c>
      <c r="F10" s="2" t="str" cm="1">
        <f t="array" ref="F10">IF(AND(Tableau1[[#This Row],[tcin]]="",Tableau1[[#This Row],[tcout]]=""),"",FromTimeCode(24,Tableau1[[#This Row],[tcout]]))</f>
        <v/>
      </c>
      <c r="G10" s="2" t="str">
        <f>IF(AND(Tableau1[[#This Row],[tcout]]="",Tableau1[[#This Row],[tcin]]=""),"",Tableau1[[#This Row],[imgOUT]]-Tableau1[[#This Row],[imgIN]]+1)</f>
        <v/>
      </c>
      <c r="H10" s="3" t="str" cm="1">
        <f t="array" ref="H10">IF(AND(Tableau1[[#This Row],[tcin]]="",Tableau1[[#This Row],[tcout]]=""),"",ToTimeCode(24,Tableau1[[#This Row],[Images]]))</f>
        <v/>
      </c>
    </row>
    <row r="11" spans="1:8" x14ac:dyDescent="0.25">
      <c r="A11" s="6"/>
      <c r="B11" s="5"/>
      <c r="C11" s="6"/>
      <c r="D11" s="6"/>
      <c r="E11" s="2" t="str" cm="1">
        <f t="array" ref="E11">IF(AND(Tableau1[[#This Row],[tcin]]="",Tableau1[[#This Row],[tcout]]=""),"",FromTimeCode(24,Tableau1[[#This Row],[tcin]]))</f>
        <v/>
      </c>
      <c r="F11" s="2" t="str" cm="1">
        <f t="array" ref="F11">IF(AND(Tableau1[[#This Row],[tcin]]="",Tableau1[[#This Row],[tcout]]=""),"",FromTimeCode(24,Tableau1[[#This Row],[tcout]]))</f>
        <v/>
      </c>
      <c r="G11" s="2" t="str">
        <f>IF(AND(Tableau1[[#This Row],[tcout]]="",Tableau1[[#This Row],[tcin]]=""),"",Tableau1[[#This Row],[imgOUT]]-Tableau1[[#This Row],[imgIN]]+1)</f>
        <v/>
      </c>
      <c r="H11" s="3" t="str" cm="1">
        <f t="array" ref="H11">IF(AND(Tableau1[[#This Row],[tcin]]="",Tableau1[[#This Row],[tcout]]=""),"",ToTimeCode(24,Tableau1[[#This Row],[Images]]))</f>
        <v/>
      </c>
    </row>
    <row r="12" spans="1:8" x14ac:dyDescent="0.25">
      <c r="A12" s="6"/>
      <c r="B12" s="5"/>
      <c r="C12" s="6"/>
      <c r="D12" s="6"/>
      <c r="E12" s="2" t="str" cm="1">
        <f t="array" ref="E12">IF(AND(Tableau1[[#This Row],[tcin]]="",Tableau1[[#This Row],[tcout]]=""),"",FromTimeCode(24,Tableau1[[#This Row],[tcin]]))</f>
        <v/>
      </c>
      <c r="F12" s="2" t="str" cm="1">
        <f t="array" ref="F12">IF(AND(Tableau1[[#This Row],[tcin]]="",Tableau1[[#This Row],[tcout]]=""),"",FromTimeCode(24,Tableau1[[#This Row],[tcout]]))</f>
        <v/>
      </c>
      <c r="G12" s="2" t="str">
        <f>IF(AND(Tableau1[[#This Row],[tcout]]="",Tableau1[[#This Row],[tcin]]=""),"",Tableau1[[#This Row],[imgOUT]]-Tableau1[[#This Row],[imgIN]]+1)</f>
        <v/>
      </c>
      <c r="H12" s="3" t="str" cm="1">
        <f t="array" ref="H12">IF(AND(Tableau1[[#This Row],[tcin]]="",Tableau1[[#This Row],[tcout]]=""),"",ToTimeCode(24,Tableau1[[#This Row],[Images]]))</f>
        <v/>
      </c>
    </row>
    <row r="13" spans="1:8" x14ac:dyDescent="0.25">
      <c r="A13" s="6"/>
      <c r="B13" s="5"/>
      <c r="C13" s="6"/>
      <c r="D13" s="6"/>
      <c r="E13" s="2" t="str" cm="1">
        <f t="array" ref="E13">IF(AND(Tableau1[[#This Row],[tcin]]="",Tableau1[[#This Row],[tcout]]=""),"",FromTimeCode(24,Tableau1[[#This Row],[tcin]]))</f>
        <v/>
      </c>
      <c r="F13" s="2" t="str" cm="1">
        <f t="array" ref="F13">IF(AND(Tableau1[[#This Row],[tcin]]="",Tableau1[[#This Row],[tcout]]=""),"",FromTimeCode(24,Tableau1[[#This Row],[tcout]]))</f>
        <v/>
      </c>
      <c r="G13" s="2" t="str">
        <f>IF(AND(Tableau1[[#This Row],[tcout]]="",Tableau1[[#This Row],[tcin]]=""),"",Tableau1[[#This Row],[imgOUT]]-Tableau1[[#This Row],[imgIN]]+1)</f>
        <v/>
      </c>
      <c r="H13" s="3" t="str" cm="1">
        <f t="array" ref="H13">IF(AND(Tableau1[[#This Row],[tcin]]="",Tableau1[[#This Row],[tcout]]=""),"",ToTimeCode(24,Tableau1[[#This Row],[Images]]))</f>
        <v/>
      </c>
    </row>
    <row r="14" spans="1:8" x14ac:dyDescent="0.25">
      <c r="A14" s="6"/>
      <c r="B14" s="5"/>
      <c r="C14" s="6"/>
      <c r="D14" s="6"/>
      <c r="E14" s="2" t="str" cm="1">
        <f t="array" ref="E14">IF(AND(Tableau1[[#This Row],[tcin]]="",Tableau1[[#This Row],[tcout]]=""),"",FromTimeCode(24,Tableau1[[#This Row],[tcin]]))</f>
        <v/>
      </c>
      <c r="F14" s="2" t="str" cm="1">
        <f t="array" ref="F14">IF(AND(Tableau1[[#This Row],[tcin]]="",Tableau1[[#This Row],[tcout]]=""),"",FromTimeCode(24,Tableau1[[#This Row],[tcout]]))</f>
        <v/>
      </c>
      <c r="G14" s="2" t="str">
        <f>IF(AND(Tableau1[[#This Row],[tcout]]="",Tableau1[[#This Row],[tcin]]=""),"",Tableau1[[#This Row],[imgOUT]]-Tableau1[[#This Row],[imgIN]]+1)</f>
        <v/>
      </c>
      <c r="H14" s="3" t="str" cm="1">
        <f t="array" ref="H14">IF(AND(Tableau1[[#This Row],[tcin]]="",Tableau1[[#This Row],[tcout]]=""),"",ToTimeCode(24,Tableau1[[#This Row],[Images]]))</f>
        <v/>
      </c>
    </row>
    <row r="15" spans="1:8" x14ac:dyDescent="0.25">
      <c r="A15" s="6"/>
      <c r="B15" s="5"/>
      <c r="C15" s="6"/>
      <c r="D15" s="6"/>
      <c r="E15" s="2" t="str" cm="1">
        <f t="array" ref="E15">IF(AND(Tableau1[[#This Row],[tcin]]="",Tableau1[[#This Row],[tcout]]=""),"",FromTimeCode(24,Tableau1[[#This Row],[tcin]]))</f>
        <v/>
      </c>
      <c r="F15" s="2" t="str" cm="1">
        <f t="array" ref="F15">IF(AND(Tableau1[[#This Row],[tcin]]="",Tableau1[[#This Row],[tcout]]=""),"",FromTimeCode(24,Tableau1[[#This Row],[tcout]]))</f>
        <v/>
      </c>
      <c r="G15" s="2" t="str">
        <f>IF(AND(Tableau1[[#This Row],[tcout]]="",Tableau1[[#This Row],[tcin]]=""),"",Tableau1[[#This Row],[imgOUT]]-Tableau1[[#This Row],[imgIN]]+1)</f>
        <v/>
      </c>
      <c r="H15" s="3" t="str" cm="1">
        <f t="array" ref="H15">IF(AND(Tableau1[[#This Row],[tcin]]="",Tableau1[[#This Row],[tcout]]=""),"",ToTimeCode(24,Tableau1[[#This Row],[Images]]))</f>
        <v/>
      </c>
    </row>
    <row r="16" spans="1:8" x14ac:dyDescent="0.25">
      <c r="A16" s="6"/>
      <c r="B16" s="5"/>
      <c r="C16" s="6"/>
      <c r="D16" s="6"/>
      <c r="E16" s="2" t="str" cm="1">
        <f t="array" ref="E16">IF(AND(Tableau1[[#This Row],[tcin]]="",Tableau1[[#This Row],[tcout]]=""),"",FromTimeCode(24,Tableau1[[#This Row],[tcin]]))</f>
        <v/>
      </c>
      <c r="F16" s="2" t="str" cm="1">
        <f t="array" ref="F16">IF(AND(Tableau1[[#This Row],[tcin]]="",Tableau1[[#This Row],[tcout]]=""),"",FromTimeCode(24,Tableau1[[#This Row],[tcout]]))</f>
        <v/>
      </c>
      <c r="G16" s="2" t="str">
        <f>IF(AND(Tableau1[[#This Row],[tcout]]="",Tableau1[[#This Row],[tcin]]=""),"",Tableau1[[#This Row],[imgOUT]]-Tableau1[[#This Row],[imgIN]]+1)</f>
        <v/>
      </c>
      <c r="H16" s="3" t="str" cm="1">
        <f t="array" ref="H16">IF(AND(Tableau1[[#This Row],[tcin]]="",Tableau1[[#This Row],[tcout]]=""),"",ToTimeCode(24,Tableau1[[#This Row],[Images]]))</f>
        <v/>
      </c>
    </row>
    <row r="17" spans="1:8" x14ac:dyDescent="0.25">
      <c r="A17" s="6"/>
      <c r="B17" s="5"/>
      <c r="C17" s="6"/>
      <c r="D17" s="6"/>
      <c r="E17" s="2" t="str" cm="1">
        <f t="array" ref="E17">IF(AND(Tableau1[[#This Row],[tcin]]="",Tableau1[[#This Row],[tcout]]=""),"",FromTimeCode(24,Tableau1[[#This Row],[tcin]]))</f>
        <v/>
      </c>
      <c r="F17" s="2" t="str" cm="1">
        <f t="array" ref="F17">IF(AND(Tableau1[[#This Row],[tcin]]="",Tableau1[[#This Row],[tcout]]=""),"",FromTimeCode(24,Tableau1[[#This Row],[tcout]]))</f>
        <v/>
      </c>
      <c r="G17" s="2" t="str">
        <f>IF(AND(Tableau1[[#This Row],[tcout]]="",Tableau1[[#This Row],[tcin]]=""),"",Tableau1[[#This Row],[imgOUT]]-Tableau1[[#This Row],[imgIN]]+1)</f>
        <v/>
      </c>
      <c r="H17" s="3" t="str" cm="1">
        <f t="array" ref="H17">IF(AND(Tableau1[[#This Row],[tcin]]="",Tableau1[[#This Row],[tcout]]=""),"",ToTimeCode(24,Tableau1[[#This Row],[Images]]))</f>
        <v/>
      </c>
    </row>
    <row r="18" spans="1:8" x14ac:dyDescent="0.25">
      <c r="A18" s="6"/>
      <c r="B18" s="5"/>
      <c r="C18" s="6"/>
      <c r="D18" s="6"/>
      <c r="E18" s="2" t="str" cm="1">
        <f t="array" ref="E18">IF(AND(Tableau1[[#This Row],[tcin]]="",Tableau1[[#This Row],[tcout]]=""),"",FromTimeCode(24,Tableau1[[#This Row],[tcin]]))</f>
        <v/>
      </c>
      <c r="F18" s="2" t="str" cm="1">
        <f t="array" ref="F18">IF(AND(Tableau1[[#This Row],[tcin]]="",Tableau1[[#This Row],[tcout]]=""),"",FromTimeCode(24,Tableau1[[#This Row],[tcout]]))</f>
        <v/>
      </c>
      <c r="G18" s="2" t="str">
        <f>IF(AND(Tableau1[[#This Row],[tcout]]="",Tableau1[[#This Row],[tcin]]=""),"",Tableau1[[#This Row],[imgOUT]]-Tableau1[[#This Row],[imgIN]]+1)</f>
        <v/>
      </c>
      <c r="H18" s="3" t="str" cm="1">
        <f t="array" ref="H18">IF(AND(Tableau1[[#This Row],[tcin]]="",Tableau1[[#This Row],[tcout]]=""),"",ToTimeCode(24,Tableau1[[#This Row],[Images]]))</f>
        <v/>
      </c>
    </row>
    <row r="19" spans="1:8" x14ac:dyDescent="0.25">
      <c r="A19" s="6"/>
      <c r="B19" s="5"/>
      <c r="C19" s="6"/>
      <c r="D19" s="6"/>
      <c r="E19" s="2" t="str" cm="1">
        <f t="array" ref="E19">IF(AND(Tableau1[[#This Row],[tcin]]="",Tableau1[[#This Row],[tcout]]=""),"",FromTimeCode(24,Tableau1[[#This Row],[tcin]]))</f>
        <v/>
      </c>
      <c r="F19" s="2" t="str" cm="1">
        <f t="array" ref="F19">IF(AND(Tableau1[[#This Row],[tcin]]="",Tableau1[[#This Row],[tcout]]=""),"",FromTimeCode(24,Tableau1[[#This Row],[tcout]]))</f>
        <v/>
      </c>
      <c r="G19" s="2" t="str">
        <f>IF(AND(Tableau1[[#This Row],[tcout]]="",Tableau1[[#This Row],[tcin]]=""),"",Tableau1[[#This Row],[imgOUT]]-Tableau1[[#This Row],[imgIN]]+1)</f>
        <v/>
      </c>
      <c r="H19" s="3" t="str" cm="1">
        <f t="array" ref="H19">IF(AND(Tableau1[[#This Row],[tcin]]="",Tableau1[[#This Row],[tcout]]=""),"",ToTimeCode(24,Tableau1[[#This Row],[Images]]))</f>
        <v/>
      </c>
    </row>
    <row r="20" spans="1:8" x14ac:dyDescent="0.25">
      <c r="A20" s="6"/>
      <c r="B20" s="5"/>
      <c r="C20" s="6"/>
      <c r="D20" s="6"/>
      <c r="E20" s="2" t="str" cm="1">
        <f t="array" ref="E20">IF(AND(Tableau1[[#This Row],[tcin]]="",Tableau1[[#This Row],[tcout]]=""),"",FromTimeCode(24,Tableau1[[#This Row],[tcin]]))</f>
        <v/>
      </c>
      <c r="F20" s="2" t="str" cm="1">
        <f t="array" ref="F20">IF(AND(Tableau1[[#This Row],[tcin]]="",Tableau1[[#This Row],[tcout]]=""),"",FromTimeCode(24,Tableau1[[#This Row],[tcout]]))</f>
        <v/>
      </c>
      <c r="G20" s="2" t="str">
        <f>IF(AND(Tableau1[[#This Row],[tcout]]="",Tableau1[[#This Row],[tcin]]=""),"",Tableau1[[#This Row],[imgOUT]]-Tableau1[[#This Row],[imgIN]]+1)</f>
        <v/>
      </c>
      <c r="H20" s="3" t="str" cm="1">
        <f t="array" ref="H20">IF(AND(Tableau1[[#This Row],[tcin]]="",Tableau1[[#This Row],[tcout]]=""),"",ToTimeCode(24,Tableau1[[#This Row],[Images]]))</f>
        <v/>
      </c>
    </row>
    <row r="21" spans="1:8" x14ac:dyDescent="0.25">
      <c r="A21" s="6"/>
      <c r="B21" s="5"/>
      <c r="C21" s="6"/>
      <c r="D21" s="6"/>
      <c r="E21" s="2" t="str" cm="1">
        <f t="array" ref="E21">IF(AND(Tableau1[[#This Row],[tcin]]="",Tableau1[[#This Row],[tcout]]=""),"",FromTimeCode(24,Tableau1[[#This Row],[tcin]]))</f>
        <v/>
      </c>
      <c r="F21" s="2" t="str" cm="1">
        <f t="array" ref="F21">IF(AND(Tableau1[[#This Row],[tcin]]="",Tableau1[[#This Row],[tcout]]=""),"",FromTimeCode(24,Tableau1[[#This Row],[tcout]]))</f>
        <v/>
      </c>
      <c r="G21" s="2" t="str">
        <f>IF(AND(Tableau1[[#This Row],[tcout]]="",Tableau1[[#This Row],[tcin]]=""),"",Tableau1[[#This Row],[imgOUT]]-Tableau1[[#This Row],[imgIN]]+1)</f>
        <v/>
      </c>
      <c r="H21" s="3" t="str" cm="1">
        <f t="array" ref="H21">IF(AND(Tableau1[[#This Row],[tcin]]="",Tableau1[[#This Row],[tcout]]=""),"",ToTimeCode(24,Tableau1[[#This Row],[Images]]))</f>
        <v/>
      </c>
    </row>
    <row r="22" spans="1:8" x14ac:dyDescent="0.25">
      <c r="A22" s="6"/>
      <c r="B22" s="5"/>
      <c r="C22" s="6"/>
      <c r="D22" s="6"/>
      <c r="E22" s="2" t="str" cm="1">
        <f t="array" ref="E22">IF(AND(Tableau1[[#This Row],[tcin]]="",Tableau1[[#This Row],[tcout]]=""),"",FromTimeCode(24,Tableau1[[#This Row],[tcin]]))</f>
        <v/>
      </c>
      <c r="F22" s="2" t="str" cm="1">
        <f t="array" ref="F22">IF(AND(Tableau1[[#This Row],[tcin]]="",Tableau1[[#This Row],[tcout]]=""),"",FromTimeCode(24,Tableau1[[#This Row],[tcout]]))</f>
        <v/>
      </c>
      <c r="G22" s="2" t="str">
        <f>IF(AND(Tableau1[[#This Row],[tcout]]="",Tableau1[[#This Row],[tcin]]=""),"",Tableau1[[#This Row],[imgOUT]]-Tableau1[[#This Row],[imgIN]]+1)</f>
        <v/>
      </c>
      <c r="H22" s="3" t="str" cm="1">
        <f t="array" ref="H22">IF(AND(Tableau1[[#This Row],[tcin]]="",Tableau1[[#This Row],[tcout]]=""),"",ToTimeCode(24,Tableau1[[#This Row],[Images]]))</f>
        <v/>
      </c>
    </row>
    <row r="23" spans="1:8" x14ac:dyDescent="0.25">
      <c r="A23" s="6"/>
      <c r="B23" s="5"/>
      <c r="C23" s="6"/>
      <c r="D23" s="6"/>
      <c r="E23" s="2" t="str" cm="1">
        <f t="array" ref="E23">IF(AND(Tableau1[[#This Row],[tcin]]="",Tableau1[[#This Row],[tcout]]=""),"",FromTimeCode(24,Tableau1[[#This Row],[tcin]]))</f>
        <v/>
      </c>
      <c r="F23" s="2" t="str" cm="1">
        <f t="array" ref="F23">IF(AND(Tableau1[[#This Row],[tcin]]="",Tableau1[[#This Row],[tcout]]=""),"",FromTimeCode(24,Tableau1[[#This Row],[tcout]]))</f>
        <v/>
      </c>
      <c r="G23" s="2" t="str">
        <f>IF(AND(Tableau1[[#This Row],[tcout]]="",Tableau1[[#This Row],[tcin]]=""),"",Tableau1[[#This Row],[imgOUT]]-Tableau1[[#This Row],[imgIN]]+1)</f>
        <v/>
      </c>
      <c r="H23" s="3" t="str" cm="1">
        <f t="array" ref="H23">IF(AND(Tableau1[[#This Row],[tcin]]="",Tableau1[[#This Row],[tcout]]=""),"",ToTimeCode(24,Tableau1[[#This Row],[Images]]))</f>
        <v/>
      </c>
    </row>
    <row r="24" spans="1:8" x14ac:dyDescent="0.25">
      <c r="A24" s="6"/>
      <c r="B24" s="5"/>
      <c r="C24" s="6"/>
      <c r="D24" s="6"/>
      <c r="E24" s="2" t="str" cm="1">
        <f t="array" ref="E24">IF(AND(Tableau1[[#This Row],[tcin]]="",Tableau1[[#This Row],[tcout]]=""),"",FromTimeCode(24,Tableau1[[#This Row],[tcin]]))</f>
        <v/>
      </c>
      <c r="F24" s="2" t="str" cm="1">
        <f t="array" ref="F24">IF(AND(Tableau1[[#This Row],[tcin]]="",Tableau1[[#This Row],[tcout]]=""),"",FromTimeCode(24,Tableau1[[#This Row],[tcout]]))</f>
        <v/>
      </c>
      <c r="G24" s="2" t="str">
        <f>IF(AND(Tableau1[[#This Row],[tcout]]="",Tableau1[[#This Row],[tcin]]=""),"",Tableau1[[#This Row],[imgOUT]]-Tableau1[[#This Row],[imgIN]]+1)</f>
        <v/>
      </c>
      <c r="H24" s="3" t="str" cm="1">
        <f t="array" ref="H24">IF(AND(Tableau1[[#This Row],[tcin]]="",Tableau1[[#This Row],[tcout]]=""),"",ToTimeCode(24,Tableau1[[#This Row],[Images]]))</f>
        <v/>
      </c>
    </row>
    <row r="25" spans="1:8" x14ac:dyDescent="0.25">
      <c r="A25" s="6"/>
      <c r="B25" s="5"/>
      <c r="C25" s="6"/>
      <c r="D25" s="6"/>
      <c r="E25" s="2" t="str" cm="1">
        <f t="array" ref="E25">IF(AND(Tableau1[[#This Row],[tcin]]="",Tableau1[[#This Row],[tcout]]=""),"",FromTimeCode(24,Tableau1[[#This Row],[tcin]]))</f>
        <v/>
      </c>
      <c r="F25" s="2" t="str" cm="1">
        <f t="array" ref="F25">IF(AND(Tableau1[[#This Row],[tcin]]="",Tableau1[[#This Row],[tcout]]=""),"",FromTimeCode(24,Tableau1[[#This Row],[tcout]]))</f>
        <v/>
      </c>
      <c r="G25" s="2" t="str">
        <f>IF(AND(Tableau1[[#This Row],[tcout]]="",Tableau1[[#This Row],[tcin]]=""),"",Tableau1[[#This Row],[imgOUT]]-Tableau1[[#This Row],[imgIN]]+1)</f>
        <v/>
      </c>
      <c r="H25" s="3" t="str" cm="1">
        <f t="array" ref="H25">IF(AND(Tableau1[[#This Row],[tcin]]="",Tableau1[[#This Row],[tcout]]=""),"",ToTimeCode(24,Tableau1[[#This Row],[Images]]))</f>
        <v/>
      </c>
    </row>
    <row r="26" spans="1:8" x14ac:dyDescent="0.25">
      <c r="A26" s="6"/>
      <c r="B26" s="5"/>
      <c r="C26" s="6"/>
      <c r="D26" s="6"/>
      <c r="E26" s="2" t="str" cm="1">
        <f t="array" ref="E26">IF(AND(Tableau1[[#This Row],[tcin]]="",Tableau1[[#This Row],[tcout]]=""),"",FromTimeCode(24,Tableau1[[#This Row],[tcin]]))</f>
        <v/>
      </c>
      <c r="F26" s="2" t="str" cm="1">
        <f t="array" ref="F26">IF(AND(Tableau1[[#This Row],[tcin]]="",Tableau1[[#This Row],[tcout]]=""),"",FromTimeCode(24,Tableau1[[#This Row],[tcout]]))</f>
        <v/>
      </c>
      <c r="G26" s="2" t="str">
        <f>IF(AND(Tableau1[[#This Row],[tcout]]="",Tableau1[[#This Row],[tcin]]=""),"",Tableau1[[#This Row],[imgOUT]]-Tableau1[[#This Row],[imgIN]]+1)</f>
        <v/>
      </c>
      <c r="H26" s="3" t="str" cm="1">
        <f t="array" ref="H26">IF(AND(Tableau1[[#This Row],[tcin]]="",Tableau1[[#This Row],[tcout]]=""),"",ToTimeCode(24,Tableau1[[#This Row],[Images]]))</f>
        <v/>
      </c>
    </row>
    <row r="27" spans="1:8" x14ac:dyDescent="0.25">
      <c r="A27" s="6"/>
      <c r="B27" s="5"/>
      <c r="C27" s="6"/>
      <c r="D27" s="6"/>
      <c r="E27" s="2" t="str" cm="1">
        <f t="array" ref="E27">IF(AND(Tableau1[[#This Row],[tcin]]="",Tableau1[[#This Row],[tcout]]=""),"",FromTimeCode(24,Tableau1[[#This Row],[tcin]]))</f>
        <v/>
      </c>
      <c r="F27" s="2" t="str" cm="1">
        <f t="array" ref="F27">IF(AND(Tableau1[[#This Row],[tcin]]="",Tableau1[[#This Row],[tcout]]=""),"",FromTimeCode(24,Tableau1[[#This Row],[tcout]]))</f>
        <v/>
      </c>
      <c r="G27" s="2" t="str">
        <f>IF(AND(Tableau1[[#This Row],[tcout]]="",Tableau1[[#This Row],[tcin]]=""),"",Tableau1[[#This Row],[imgOUT]]-Tableau1[[#This Row],[imgIN]]+1)</f>
        <v/>
      </c>
      <c r="H27" s="3" t="str" cm="1">
        <f t="array" ref="H27">IF(AND(Tableau1[[#This Row],[tcin]]="",Tableau1[[#This Row],[tcout]]=""),"",ToTimeCode(24,Tableau1[[#This Row],[Images]]))</f>
        <v/>
      </c>
    </row>
    <row r="28" spans="1:8" x14ac:dyDescent="0.25">
      <c r="A28" s="6"/>
      <c r="B28" s="5"/>
      <c r="C28" s="6"/>
      <c r="D28" s="6"/>
      <c r="E28" s="2" t="str" cm="1">
        <f t="array" ref="E28">IF(AND(Tableau1[[#This Row],[tcin]]="",Tableau1[[#This Row],[tcout]]=""),"",FromTimeCode(24,Tableau1[[#This Row],[tcin]]))</f>
        <v/>
      </c>
      <c r="F28" s="2" t="str" cm="1">
        <f t="array" ref="F28">IF(AND(Tableau1[[#This Row],[tcin]]="",Tableau1[[#This Row],[tcout]]=""),"",FromTimeCode(24,Tableau1[[#This Row],[tcout]]))</f>
        <v/>
      </c>
      <c r="G28" s="2" t="str">
        <f>IF(AND(Tableau1[[#This Row],[tcout]]="",Tableau1[[#This Row],[tcin]]=""),"",Tableau1[[#This Row],[imgOUT]]-Tableau1[[#This Row],[imgIN]]+1)</f>
        <v/>
      </c>
      <c r="H28" s="3" t="str" cm="1">
        <f t="array" ref="H28">IF(AND(Tableau1[[#This Row],[tcin]]="",Tableau1[[#This Row],[tcout]]=""),"",ToTimeCode(24,Tableau1[[#This Row],[Images]]))</f>
        <v/>
      </c>
    </row>
    <row r="29" spans="1:8" x14ac:dyDescent="0.25">
      <c r="A29" s="6"/>
      <c r="B29" s="5"/>
      <c r="C29" s="6"/>
      <c r="D29" s="6"/>
      <c r="E29" s="2" t="str" cm="1">
        <f t="array" ref="E29">IF(AND(Tableau1[[#This Row],[tcin]]="",Tableau1[[#This Row],[tcout]]=""),"",FromTimeCode(24,Tableau1[[#This Row],[tcin]]))</f>
        <v/>
      </c>
      <c r="F29" s="2" t="str" cm="1">
        <f t="array" ref="F29">IF(AND(Tableau1[[#This Row],[tcin]]="",Tableau1[[#This Row],[tcout]]=""),"",FromTimeCode(24,Tableau1[[#This Row],[tcout]]))</f>
        <v/>
      </c>
      <c r="G29" s="2" t="str">
        <f>IF(AND(Tableau1[[#This Row],[tcout]]="",Tableau1[[#This Row],[tcin]]=""),"",Tableau1[[#This Row],[imgOUT]]-Tableau1[[#This Row],[imgIN]]+1)</f>
        <v/>
      </c>
      <c r="H29" s="3" t="str" cm="1">
        <f t="array" ref="H29">IF(AND(Tableau1[[#This Row],[tcin]]="",Tableau1[[#This Row],[tcout]]=""),"",ToTimeCode(24,Tableau1[[#This Row],[Images]]))</f>
        <v/>
      </c>
    </row>
    <row r="30" spans="1:8" x14ac:dyDescent="0.25">
      <c r="A30" s="6"/>
      <c r="B30" s="5"/>
      <c r="C30" s="6"/>
      <c r="D30" s="6"/>
      <c r="E30" s="2" t="str" cm="1">
        <f t="array" ref="E30">IF(AND(Tableau1[[#This Row],[tcin]]="",Tableau1[[#This Row],[tcout]]=""),"",FromTimeCode(24,Tableau1[[#This Row],[tcin]]))</f>
        <v/>
      </c>
      <c r="F30" s="2" t="str" cm="1">
        <f t="array" ref="F30">IF(AND(Tableau1[[#This Row],[tcin]]="",Tableau1[[#This Row],[tcout]]=""),"",FromTimeCode(24,Tableau1[[#This Row],[tcout]]))</f>
        <v/>
      </c>
      <c r="G30" s="2" t="str">
        <f>IF(AND(Tableau1[[#This Row],[tcout]]="",Tableau1[[#This Row],[tcin]]=""),"",Tableau1[[#This Row],[imgOUT]]-Tableau1[[#This Row],[imgIN]]+1)</f>
        <v/>
      </c>
      <c r="H30" s="3" t="str" cm="1">
        <f t="array" ref="H30">IF(AND(Tableau1[[#This Row],[tcin]]="",Tableau1[[#This Row],[tcout]]=""),"",ToTimeCode(24,Tableau1[[#This Row],[Images]]))</f>
        <v/>
      </c>
    </row>
    <row r="31" spans="1:8" x14ac:dyDescent="0.25">
      <c r="A31" s="6"/>
      <c r="B31" s="5"/>
      <c r="C31" s="6"/>
      <c r="D31" s="6"/>
      <c r="E31" s="2" t="str" cm="1">
        <f t="array" ref="E31">IF(AND(Tableau1[[#This Row],[tcin]]="",Tableau1[[#This Row],[tcout]]=""),"",FromTimeCode(24,Tableau1[[#This Row],[tcin]]))</f>
        <v/>
      </c>
      <c r="F31" s="2" t="str" cm="1">
        <f t="array" ref="F31">IF(AND(Tableau1[[#This Row],[tcin]]="",Tableau1[[#This Row],[tcout]]=""),"",FromTimeCode(24,Tableau1[[#This Row],[tcout]]))</f>
        <v/>
      </c>
      <c r="G31" s="2" t="str">
        <f>IF(AND(Tableau1[[#This Row],[tcout]]="",Tableau1[[#This Row],[tcin]]=""),"",Tableau1[[#This Row],[imgOUT]]-Tableau1[[#This Row],[imgIN]]+1)</f>
        <v/>
      </c>
      <c r="H31" s="3" t="str" cm="1">
        <f t="array" ref="H31">IF(AND(Tableau1[[#This Row],[tcin]]="",Tableau1[[#This Row],[tcout]]=""),"",ToTimeCode(24,Tableau1[[#This Row],[Images]]))</f>
        <v/>
      </c>
    </row>
    <row r="32" spans="1:8" x14ac:dyDescent="0.25">
      <c r="A32" s="6"/>
      <c r="B32" s="5"/>
      <c r="C32" s="6"/>
      <c r="D32" s="6"/>
      <c r="E32" s="2" t="str" cm="1">
        <f t="array" ref="E32">IF(AND(Tableau1[[#This Row],[tcin]]="",Tableau1[[#This Row],[tcout]]=""),"",FromTimeCode(24,Tableau1[[#This Row],[tcin]]))</f>
        <v/>
      </c>
      <c r="F32" s="2" t="str" cm="1">
        <f t="array" ref="F32">IF(AND(Tableau1[[#This Row],[tcin]]="",Tableau1[[#This Row],[tcout]]=""),"",FromTimeCode(24,Tableau1[[#This Row],[tcout]]))</f>
        <v/>
      </c>
      <c r="G32" s="2" t="str">
        <f>IF(AND(Tableau1[[#This Row],[tcout]]="",Tableau1[[#This Row],[tcin]]=""),"",Tableau1[[#This Row],[imgOUT]]-Tableau1[[#This Row],[imgIN]]+1)</f>
        <v/>
      </c>
      <c r="H32" s="3" t="str" cm="1">
        <f t="array" ref="H32">IF(AND(Tableau1[[#This Row],[tcin]]="",Tableau1[[#This Row],[tcout]]=""),"",ToTimeCode(24,Tableau1[[#This Row],[Images]]))</f>
        <v/>
      </c>
    </row>
    <row r="33" spans="1:8" x14ac:dyDescent="0.25">
      <c r="A33" s="6"/>
      <c r="B33" s="5"/>
      <c r="C33" s="6"/>
      <c r="D33" s="6"/>
      <c r="E33" s="2" t="str" cm="1">
        <f t="array" ref="E33">IF(AND(Tableau1[[#This Row],[tcin]]="",Tableau1[[#This Row],[tcout]]=""),"",FromTimeCode(24,Tableau1[[#This Row],[tcin]]))</f>
        <v/>
      </c>
      <c r="F33" s="2" t="str" cm="1">
        <f t="array" ref="F33">IF(AND(Tableau1[[#This Row],[tcin]]="",Tableau1[[#This Row],[tcout]]=""),"",FromTimeCode(24,Tableau1[[#This Row],[tcout]]))</f>
        <v/>
      </c>
      <c r="G33" s="2" t="str">
        <f>IF(AND(Tableau1[[#This Row],[tcout]]="",Tableau1[[#This Row],[tcin]]=""),"",Tableau1[[#This Row],[imgOUT]]-Tableau1[[#This Row],[imgIN]]+1)</f>
        <v/>
      </c>
      <c r="H33" s="3" t="str" cm="1">
        <f t="array" ref="H33">IF(AND(Tableau1[[#This Row],[tcin]]="",Tableau1[[#This Row],[tcout]]=""),"",ToTimeCode(24,Tableau1[[#This Row],[Images]]))</f>
        <v/>
      </c>
    </row>
    <row r="34" spans="1:8" x14ac:dyDescent="0.25">
      <c r="A34" s="6"/>
      <c r="B34" s="5"/>
      <c r="C34" s="6"/>
      <c r="D34" s="6"/>
      <c r="E34" s="2" t="str" cm="1">
        <f t="array" ref="E34">IF(AND(Tableau1[[#This Row],[tcin]]="",Tableau1[[#This Row],[tcout]]=""),"",FromTimeCode(24,Tableau1[[#This Row],[tcin]]))</f>
        <v/>
      </c>
      <c r="F34" s="2" t="str" cm="1">
        <f t="array" ref="F34">IF(AND(Tableau1[[#This Row],[tcin]]="",Tableau1[[#This Row],[tcout]]=""),"",FromTimeCode(24,Tableau1[[#This Row],[tcout]]))</f>
        <v/>
      </c>
      <c r="G34" s="2" t="str">
        <f>IF(AND(Tableau1[[#This Row],[tcout]]="",Tableau1[[#This Row],[tcin]]=""),"",Tableau1[[#This Row],[imgOUT]]-Tableau1[[#This Row],[imgIN]]+1)</f>
        <v/>
      </c>
      <c r="H34" s="3" t="str" cm="1">
        <f t="array" ref="H34">IF(AND(Tableau1[[#This Row],[tcin]]="",Tableau1[[#This Row],[tcout]]=""),"",ToTimeCode(24,Tableau1[[#This Row],[Images]]))</f>
        <v/>
      </c>
    </row>
    <row r="35" spans="1:8" x14ac:dyDescent="0.25">
      <c r="A35" s="6"/>
      <c r="B35" s="5"/>
      <c r="C35" s="6"/>
      <c r="D35" s="6"/>
      <c r="E35" s="2" t="str" cm="1">
        <f t="array" ref="E35">IF(AND(Tableau1[[#This Row],[tcin]]="",Tableau1[[#This Row],[tcout]]=""),"",FromTimeCode(24,Tableau1[[#This Row],[tcin]]))</f>
        <v/>
      </c>
      <c r="F35" s="2" t="str" cm="1">
        <f t="array" ref="F35">IF(AND(Tableau1[[#This Row],[tcin]]="",Tableau1[[#This Row],[tcout]]=""),"",FromTimeCode(24,Tableau1[[#This Row],[tcout]]))</f>
        <v/>
      </c>
      <c r="G35" s="2" t="str">
        <f>IF(AND(Tableau1[[#This Row],[tcout]]="",Tableau1[[#This Row],[tcin]]=""),"",Tableau1[[#This Row],[imgOUT]]-Tableau1[[#This Row],[imgIN]]+1)</f>
        <v/>
      </c>
      <c r="H35" s="3" t="str" cm="1">
        <f t="array" ref="H35">IF(AND(Tableau1[[#This Row],[tcin]]="",Tableau1[[#This Row],[tcout]]=""),"",ToTimeCode(24,Tableau1[[#This Row],[Images]]))</f>
        <v/>
      </c>
    </row>
    <row r="36" spans="1:8" x14ac:dyDescent="0.25">
      <c r="A36" s="6"/>
      <c r="B36" s="5"/>
      <c r="C36" s="6"/>
      <c r="D36" s="6"/>
      <c r="E36" s="2" t="str" cm="1">
        <f t="array" ref="E36">IF(AND(Tableau1[[#This Row],[tcin]]="",Tableau1[[#This Row],[tcout]]=""),"",FromTimeCode(24,Tableau1[[#This Row],[tcin]]))</f>
        <v/>
      </c>
      <c r="F36" s="2" t="str" cm="1">
        <f t="array" ref="F36">IF(AND(Tableau1[[#This Row],[tcin]]="",Tableau1[[#This Row],[tcout]]=""),"",FromTimeCode(24,Tableau1[[#This Row],[tcout]]))</f>
        <v/>
      </c>
      <c r="G36" s="2" t="str">
        <f>IF(AND(Tableau1[[#This Row],[tcout]]="",Tableau1[[#This Row],[tcin]]=""),"",Tableau1[[#This Row],[imgOUT]]-Tableau1[[#This Row],[imgIN]]+1)</f>
        <v/>
      </c>
      <c r="H36" s="3" t="str" cm="1">
        <f t="array" ref="H36">IF(AND(Tableau1[[#This Row],[tcin]]="",Tableau1[[#This Row],[tcout]]=""),"",ToTimeCode(24,Tableau1[[#This Row],[Images]]))</f>
        <v/>
      </c>
    </row>
    <row r="37" spans="1:8" x14ac:dyDescent="0.25">
      <c r="A37" s="6"/>
      <c r="B37" s="5"/>
      <c r="C37" s="6"/>
      <c r="D37" s="6"/>
      <c r="E37" s="2" t="str" cm="1">
        <f t="array" ref="E37">IF(AND(Tableau1[[#This Row],[tcin]]="",Tableau1[[#This Row],[tcout]]=""),"",FromTimeCode(24,Tableau1[[#This Row],[tcin]]))</f>
        <v/>
      </c>
      <c r="F37" s="2" t="str" cm="1">
        <f t="array" ref="F37">IF(AND(Tableau1[[#This Row],[tcin]]="",Tableau1[[#This Row],[tcout]]=""),"",FromTimeCode(24,Tableau1[[#This Row],[tcout]]))</f>
        <v/>
      </c>
      <c r="G37" s="2" t="str">
        <f>IF(AND(Tableau1[[#This Row],[tcout]]="",Tableau1[[#This Row],[tcin]]=""),"",Tableau1[[#This Row],[imgOUT]]-Tableau1[[#This Row],[imgIN]]+1)</f>
        <v/>
      </c>
      <c r="H37" s="3" t="str" cm="1">
        <f t="array" ref="H37">IF(AND(Tableau1[[#This Row],[tcin]]="",Tableau1[[#This Row],[tcout]]=""),"",ToTimeCode(24,Tableau1[[#This Row],[Images]]))</f>
        <v/>
      </c>
    </row>
    <row r="38" spans="1:8" x14ac:dyDescent="0.25">
      <c r="A38" s="6"/>
      <c r="B38" s="5"/>
      <c r="C38" s="6"/>
      <c r="D38" s="6"/>
      <c r="E38" s="2" t="str" cm="1">
        <f t="array" ref="E38">IF(AND(Tableau1[[#This Row],[tcin]]="",Tableau1[[#This Row],[tcout]]=""),"",FromTimeCode(24,Tableau1[[#This Row],[tcin]]))</f>
        <v/>
      </c>
      <c r="F38" s="2" t="str" cm="1">
        <f t="array" ref="F38">IF(AND(Tableau1[[#This Row],[tcin]]="",Tableau1[[#This Row],[tcout]]=""),"",FromTimeCode(24,Tableau1[[#This Row],[tcout]]))</f>
        <v/>
      </c>
      <c r="G38" s="2" t="str">
        <f>IF(AND(Tableau1[[#This Row],[tcout]]="",Tableau1[[#This Row],[tcin]]=""),"",Tableau1[[#This Row],[imgOUT]]-Tableau1[[#This Row],[imgIN]]+1)</f>
        <v/>
      </c>
      <c r="H38" s="3" t="str" cm="1">
        <f t="array" ref="H38">IF(AND(Tableau1[[#This Row],[tcin]]="",Tableau1[[#This Row],[tcout]]=""),"",ToTimeCode(24,Tableau1[[#This Row],[Images]]))</f>
        <v/>
      </c>
    </row>
    <row r="39" spans="1:8" x14ac:dyDescent="0.25">
      <c r="A39" s="6"/>
      <c r="B39" s="5"/>
      <c r="C39" s="6"/>
      <c r="D39" s="6"/>
      <c r="E39" s="2" t="str" cm="1">
        <f t="array" ref="E39">IF(AND(Tableau1[[#This Row],[tcin]]="",Tableau1[[#This Row],[tcout]]=""),"",FromTimeCode(24,Tableau1[[#This Row],[tcin]]))</f>
        <v/>
      </c>
      <c r="F39" s="2" t="str" cm="1">
        <f t="array" ref="F39">IF(AND(Tableau1[[#This Row],[tcin]]="",Tableau1[[#This Row],[tcout]]=""),"",FromTimeCode(24,Tableau1[[#This Row],[tcout]]))</f>
        <v/>
      </c>
      <c r="G39" s="2" t="str">
        <f>IF(AND(Tableau1[[#This Row],[tcout]]="",Tableau1[[#This Row],[tcin]]=""),"",Tableau1[[#This Row],[imgOUT]]-Tableau1[[#This Row],[imgIN]]+1)</f>
        <v/>
      </c>
      <c r="H39" s="3" t="str" cm="1">
        <f t="array" ref="H39">IF(AND(Tableau1[[#This Row],[tcin]]="",Tableau1[[#This Row],[tcout]]=""),"",ToTimeCode(24,Tableau1[[#This Row],[Images]]))</f>
        <v/>
      </c>
    </row>
    <row r="40" spans="1:8" x14ac:dyDescent="0.25">
      <c r="A40" s="6"/>
      <c r="B40" s="5"/>
      <c r="C40" s="6"/>
      <c r="D40" s="6"/>
      <c r="E40" s="2" t="str" cm="1">
        <f t="array" ref="E40">IF(AND(Tableau1[[#This Row],[tcin]]="",Tableau1[[#This Row],[tcout]]=""),"",FromTimeCode(24,Tableau1[[#This Row],[tcin]]))</f>
        <v/>
      </c>
      <c r="F40" s="2" t="str" cm="1">
        <f t="array" ref="F40">IF(AND(Tableau1[[#This Row],[tcin]]="",Tableau1[[#This Row],[tcout]]=""),"",FromTimeCode(24,Tableau1[[#This Row],[tcout]]))</f>
        <v/>
      </c>
      <c r="G40" s="2" t="str">
        <f>IF(AND(Tableau1[[#This Row],[tcout]]="",Tableau1[[#This Row],[tcin]]=""),"",Tableau1[[#This Row],[imgOUT]]-Tableau1[[#This Row],[imgIN]]+1)</f>
        <v/>
      </c>
      <c r="H40" s="3" t="str" cm="1">
        <f t="array" ref="H40">IF(AND(Tableau1[[#This Row],[tcin]]="",Tableau1[[#This Row],[tcout]]=""),"",ToTimeCode(24,Tableau1[[#This Row],[Images]]))</f>
        <v/>
      </c>
    </row>
    <row r="41" spans="1:8" x14ac:dyDescent="0.25">
      <c r="A41" s="6"/>
      <c r="B41" s="5"/>
      <c r="C41" s="6"/>
      <c r="D41" s="6"/>
      <c r="E41" s="2" t="str" cm="1">
        <f t="array" ref="E41">IF(AND(Tableau1[[#This Row],[tcin]]="",Tableau1[[#This Row],[tcout]]=""),"",FromTimeCode(24,Tableau1[[#This Row],[tcin]]))</f>
        <v/>
      </c>
      <c r="F41" s="2" t="str" cm="1">
        <f t="array" ref="F41">IF(AND(Tableau1[[#This Row],[tcin]]="",Tableau1[[#This Row],[tcout]]=""),"",FromTimeCode(24,Tableau1[[#This Row],[tcout]]))</f>
        <v/>
      </c>
      <c r="G41" s="2" t="str">
        <f>IF(AND(Tableau1[[#This Row],[tcout]]="",Tableau1[[#This Row],[tcin]]=""),"",Tableau1[[#This Row],[imgOUT]]-Tableau1[[#This Row],[imgIN]]+1)</f>
        <v/>
      </c>
      <c r="H41" s="3" t="str" cm="1">
        <f t="array" ref="H41">IF(AND(Tableau1[[#This Row],[tcin]]="",Tableau1[[#This Row],[tcout]]=""),"",ToTimeCode(24,Tableau1[[#This Row],[Images]]))</f>
        <v/>
      </c>
    </row>
    <row r="42" spans="1:8" x14ac:dyDescent="0.25">
      <c r="A42" s="6"/>
      <c r="B42" s="5"/>
      <c r="C42" s="6"/>
      <c r="D42" s="6"/>
      <c r="E42" s="2" t="str" cm="1">
        <f t="array" ref="E42">IF(AND(Tableau1[[#This Row],[tcin]]="",Tableau1[[#This Row],[tcout]]=""),"",FromTimeCode(24,Tableau1[[#This Row],[tcin]]))</f>
        <v/>
      </c>
      <c r="F42" s="2" t="str" cm="1">
        <f t="array" ref="F42">IF(AND(Tableau1[[#This Row],[tcin]]="",Tableau1[[#This Row],[tcout]]=""),"",FromTimeCode(24,Tableau1[[#This Row],[tcout]]))</f>
        <v/>
      </c>
      <c r="G42" s="2" t="str">
        <f>IF(AND(Tableau1[[#This Row],[tcout]]="",Tableau1[[#This Row],[tcin]]=""),"",Tableau1[[#This Row],[imgOUT]]-Tableau1[[#This Row],[imgIN]]+1)</f>
        <v/>
      </c>
      <c r="H42" s="3" t="str" cm="1">
        <f t="array" ref="H42">IF(AND(Tableau1[[#This Row],[tcin]]="",Tableau1[[#This Row],[tcout]]=""),"",ToTimeCode(24,Tableau1[[#This Row],[Images]]))</f>
        <v/>
      </c>
    </row>
    <row r="43" spans="1:8" x14ac:dyDescent="0.25">
      <c r="A43" s="6"/>
      <c r="B43" s="5"/>
      <c r="C43" s="6"/>
      <c r="D43" s="6"/>
      <c r="E43" s="2" t="str" cm="1">
        <f t="array" ref="E43">IF(AND(Tableau1[[#This Row],[tcin]]="",Tableau1[[#This Row],[tcout]]=""),"",FromTimeCode(24,Tableau1[[#This Row],[tcin]]))</f>
        <v/>
      </c>
      <c r="F43" s="2" t="str" cm="1">
        <f t="array" ref="F43">IF(AND(Tableau1[[#This Row],[tcin]]="",Tableau1[[#This Row],[tcout]]=""),"",FromTimeCode(24,Tableau1[[#This Row],[tcout]]))</f>
        <v/>
      </c>
      <c r="G43" s="2" t="str">
        <f>IF(AND(Tableau1[[#This Row],[tcout]]="",Tableau1[[#This Row],[tcin]]=""),"",Tableau1[[#This Row],[imgOUT]]-Tableau1[[#This Row],[imgIN]]+1)</f>
        <v/>
      </c>
      <c r="H43" s="3" t="str" cm="1">
        <f t="array" ref="H43">IF(AND(Tableau1[[#This Row],[tcin]]="",Tableau1[[#This Row],[tcout]]=""),"",ToTimeCode(24,Tableau1[[#This Row],[Images]]))</f>
        <v/>
      </c>
    </row>
    <row r="44" spans="1:8" x14ac:dyDescent="0.25">
      <c r="A44" s="6"/>
      <c r="B44" s="5"/>
      <c r="C44" s="6"/>
      <c r="D44" s="6"/>
      <c r="E44" s="2" t="str" cm="1">
        <f t="array" ref="E44">IF(AND(Tableau1[[#This Row],[tcin]]="",Tableau1[[#This Row],[tcout]]=""),"",FromTimeCode(24,Tableau1[[#This Row],[tcin]]))</f>
        <v/>
      </c>
      <c r="F44" s="2" t="str" cm="1">
        <f t="array" ref="F44">IF(AND(Tableau1[[#This Row],[tcin]]="",Tableau1[[#This Row],[tcout]]=""),"",FromTimeCode(24,Tableau1[[#This Row],[tcout]]))</f>
        <v/>
      </c>
      <c r="G44" s="2" t="str">
        <f>IF(AND(Tableau1[[#This Row],[tcout]]="",Tableau1[[#This Row],[tcin]]=""),"",Tableau1[[#This Row],[imgOUT]]-Tableau1[[#This Row],[imgIN]]+1)</f>
        <v/>
      </c>
      <c r="H44" s="3" t="str" cm="1">
        <f t="array" ref="H44">IF(AND(Tableau1[[#This Row],[tcin]]="",Tableau1[[#This Row],[tcout]]=""),"",ToTimeCode(24,Tableau1[[#This Row],[Images]]))</f>
        <v/>
      </c>
    </row>
    <row r="45" spans="1:8" x14ac:dyDescent="0.25">
      <c r="A45" s="6"/>
      <c r="B45" s="5"/>
      <c r="C45" s="6"/>
      <c r="D45" s="6"/>
      <c r="E45" s="2" t="str" cm="1">
        <f t="array" ref="E45">IF(AND(Tableau1[[#This Row],[tcin]]="",Tableau1[[#This Row],[tcout]]=""),"",FromTimeCode(24,Tableau1[[#This Row],[tcin]]))</f>
        <v/>
      </c>
      <c r="F45" s="2" t="str" cm="1">
        <f t="array" ref="F45">IF(AND(Tableau1[[#This Row],[tcin]]="",Tableau1[[#This Row],[tcout]]=""),"",FromTimeCode(24,Tableau1[[#This Row],[tcout]]))</f>
        <v/>
      </c>
      <c r="G45" s="2" t="str">
        <f>IF(AND(Tableau1[[#This Row],[tcout]]="",Tableau1[[#This Row],[tcin]]=""),"",Tableau1[[#This Row],[imgOUT]]-Tableau1[[#This Row],[imgIN]]+1)</f>
        <v/>
      </c>
      <c r="H45" s="3" t="str" cm="1">
        <f t="array" ref="H45">IF(AND(Tableau1[[#This Row],[tcin]]="",Tableau1[[#This Row],[tcout]]=""),"",ToTimeCode(24,Tableau1[[#This Row],[Images]]))</f>
        <v/>
      </c>
    </row>
    <row r="46" spans="1:8" x14ac:dyDescent="0.25">
      <c r="A46" s="6"/>
      <c r="B46" s="5"/>
      <c r="C46" s="6"/>
      <c r="D46" s="6"/>
      <c r="E46" s="2" t="str" cm="1">
        <f t="array" ref="E46">IF(AND(Tableau1[[#This Row],[tcin]]="",Tableau1[[#This Row],[tcout]]=""),"",FromTimeCode(24,Tableau1[[#This Row],[tcin]]))</f>
        <v/>
      </c>
      <c r="F46" s="2" t="str" cm="1">
        <f t="array" ref="F46">IF(AND(Tableau1[[#This Row],[tcin]]="",Tableau1[[#This Row],[tcout]]=""),"",FromTimeCode(24,Tableau1[[#This Row],[tcout]]))</f>
        <v/>
      </c>
      <c r="G46" s="2" t="str">
        <f>IF(AND(Tableau1[[#This Row],[tcout]]="",Tableau1[[#This Row],[tcin]]=""),"",Tableau1[[#This Row],[imgOUT]]-Tableau1[[#This Row],[imgIN]]+1)</f>
        <v/>
      </c>
      <c r="H46" s="3" t="str" cm="1">
        <f t="array" ref="H46">IF(AND(Tableau1[[#This Row],[tcin]]="",Tableau1[[#This Row],[tcout]]=""),"",ToTimeCode(24,Tableau1[[#This Row],[Images]]))</f>
        <v/>
      </c>
    </row>
    <row r="47" spans="1:8" x14ac:dyDescent="0.25">
      <c r="A47" s="6"/>
      <c r="B47" s="5"/>
      <c r="C47" s="6"/>
      <c r="D47" s="6"/>
      <c r="E47" s="2" t="str" cm="1">
        <f t="array" ref="E47">IF(AND(Tableau1[[#This Row],[tcin]]="",Tableau1[[#This Row],[tcout]]=""),"",FromTimeCode(24,Tableau1[[#This Row],[tcin]]))</f>
        <v/>
      </c>
      <c r="F47" s="2" t="str" cm="1">
        <f t="array" ref="F47">IF(AND(Tableau1[[#This Row],[tcin]]="",Tableau1[[#This Row],[tcout]]=""),"",FromTimeCode(24,Tableau1[[#This Row],[tcout]]))</f>
        <v/>
      </c>
      <c r="G47" s="2" t="str">
        <f>IF(AND(Tableau1[[#This Row],[tcout]]="",Tableau1[[#This Row],[tcin]]=""),"",Tableau1[[#This Row],[imgOUT]]-Tableau1[[#This Row],[imgIN]]+1)</f>
        <v/>
      </c>
      <c r="H47" s="3" t="str" cm="1">
        <f t="array" ref="H47">IF(AND(Tableau1[[#This Row],[tcin]]="",Tableau1[[#This Row],[tcout]]=""),"",ToTimeCode(24,Tableau1[[#This Row],[Images]]))</f>
        <v/>
      </c>
    </row>
    <row r="48" spans="1:8" x14ac:dyDescent="0.25">
      <c r="A48" s="6"/>
      <c r="B48" s="5"/>
      <c r="C48" s="6"/>
      <c r="D48" s="6"/>
      <c r="E48" s="2" t="str" cm="1">
        <f t="array" ref="E48">IF(AND(Tableau1[[#This Row],[tcin]]="",Tableau1[[#This Row],[tcout]]=""),"",FromTimeCode(24,Tableau1[[#This Row],[tcin]]))</f>
        <v/>
      </c>
      <c r="F48" s="2" t="str" cm="1">
        <f t="array" ref="F48">IF(AND(Tableau1[[#This Row],[tcin]]="",Tableau1[[#This Row],[tcout]]=""),"",FromTimeCode(24,Tableau1[[#This Row],[tcout]]))</f>
        <v/>
      </c>
      <c r="G48" s="2" t="str">
        <f>IF(AND(Tableau1[[#This Row],[tcout]]="",Tableau1[[#This Row],[tcin]]=""),"",Tableau1[[#This Row],[imgOUT]]-Tableau1[[#This Row],[imgIN]]+1)</f>
        <v/>
      </c>
      <c r="H48" s="3" t="str" cm="1">
        <f t="array" ref="H48">IF(AND(Tableau1[[#This Row],[tcin]]="",Tableau1[[#This Row],[tcout]]=""),"",ToTimeCode(24,Tableau1[[#This Row],[Images]]))</f>
        <v/>
      </c>
    </row>
    <row r="49" spans="1:8" x14ac:dyDescent="0.25">
      <c r="A49" s="6"/>
      <c r="B49" s="5"/>
      <c r="C49" s="6"/>
      <c r="D49" s="6"/>
      <c r="E49" s="2" t="str" cm="1">
        <f t="array" ref="E49">IF(AND(Tableau1[[#This Row],[tcin]]="",Tableau1[[#This Row],[tcout]]=""),"",FromTimeCode(24,Tableau1[[#This Row],[tcin]]))</f>
        <v/>
      </c>
      <c r="F49" s="2" t="str" cm="1">
        <f t="array" ref="F49">IF(AND(Tableau1[[#This Row],[tcin]]="",Tableau1[[#This Row],[tcout]]=""),"",FromTimeCode(24,Tableau1[[#This Row],[tcout]]))</f>
        <v/>
      </c>
      <c r="G49" s="2" t="str">
        <f>IF(AND(Tableau1[[#This Row],[tcout]]="",Tableau1[[#This Row],[tcin]]=""),"",Tableau1[[#This Row],[imgOUT]]-Tableau1[[#This Row],[imgIN]]+1)</f>
        <v/>
      </c>
      <c r="H49" s="3" t="str" cm="1">
        <f t="array" ref="H49">IF(AND(Tableau1[[#This Row],[tcin]]="",Tableau1[[#This Row],[tcout]]=""),"",ToTimeCode(24,Tableau1[[#This Row],[Images]]))</f>
        <v/>
      </c>
    </row>
    <row r="50" spans="1:8" x14ac:dyDescent="0.25">
      <c r="A50" s="6"/>
      <c r="B50" s="5"/>
      <c r="C50" s="6"/>
      <c r="D50" s="6"/>
      <c r="E50" s="2" t="str" cm="1">
        <f t="array" ref="E50">IF(AND(Tableau1[[#This Row],[tcin]]="",Tableau1[[#This Row],[tcout]]=""),"",FromTimeCode(24,Tableau1[[#This Row],[tcin]]))</f>
        <v/>
      </c>
      <c r="F50" s="2" t="str" cm="1">
        <f t="array" ref="F50">IF(AND(Tableau1[[#This Row],[tcin]]="",Tableau1[[#This Row],[tcout]]=""),"",FromTimeCode(24,Tableau1[[#This Row],[tcout]]))</f>
        <v/>
      </c>
      <c r="G50" s="2" t="str">
        <f>IF(AND(Tableau1[[#This Row],[tcout]]="",Tableau1[[#This Row],[tcin]]=""),"",Tableau1[[#This Row],[imgOUT]]-Tableau1[[#This Row],[imgIN]]+1)</f>
        <v/>
      </c>
      <c r="H50" s="3" t="str" cm="1">
        <f t="array" ref="H50">IF(AND(Tableau1[[#This Row],[tcin]]="",Tableau1[[#This Row],[tcout]]=""),"",ToTimeCode(24,Tableau1[[#This Row],[Images]]))</f>
        <v/>
      </c>
    </row>
    <row r="51" spans="1:8" x14ac:dyDescent="0.25">
      <c r="E51" s="4"/>
      <c r="F51" s="7" t="s">
        <v>17</v>
      </c>
      <c r="G51" s="7">
        <f>SUBTOTAL(109,Tableau1[Images])</f>
        <v>689</v>
      </c>
      <c r="H51" s="7" t="str" cm="1">
        <f t="array" ref="H51">ToTimeCode(24,Tableau1[[#Totals],[Images]])</f>
        <v>00:00:28:17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Lepretre</dc:creator>
  <cp:lastModifiedBy>Didier Lepretre</cp:lastModifiedBy>
  <dcterms:created xsi:type="dcterms:W3CDTF">2020-12-13T16:20:32Z</dcterms:created>
  <dcterms:modified xsi:type="dcterms:W3CDTF">2021-08-05T13:49:37Z</dcterms:modified>
</cp:coreProperties>
</file>